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IDW40G120C5B\"/>
    </mc:Choice>
  </mc:AlternateContent>
  <xr:revisionPtr revIDLastSave="0" documentId="13_ncr:1_{E3A70EBD-643A-41A4-902F-5720DAD30413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VF" sheetId="1" r:id="rId1"/>
    <sheet name="Rd" sheetId="2" r:id="rId2"/>
    <sheet name="IF" sheetId="3" r:id="rId3"/>
    <sheet name="Qc" sheetId="4" r:id="rId4"/>
    <sheet name="IF_VF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5" l="1"/>
</calcChain>
</file>

<file path=xl/sharedStrings.xml><?xml version="1.0" encoding="utf-8"?>
<sst xmlns="http://schemas.openxmlformats.org/spreadsheetml/2006/main" count="10" uniqueCount="8">
  <si>
    <t>IF</t>
  </si>
  <si>
    <t>nC</t>
  </si>
  <si>
    <t>A</t>
  </si>
  <si>
    <t>VF</t>
  </si>
  <si>
    <t>V</t>
  </si>
  <si>
    <t>Rd</t>
  </si>
  <si>
    <t>mohm</t>
  </si>
  <si>
    <t>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</si>
</sst>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1" fillId="0" borderId="1" xfId="0" applyFont="1" applyBorder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IF_VF!$B$1</c:f>
              <c:strCache>
                <c:ptCount val="1"/>
                <c:pt idx="0">
                  <c:v>IF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IF_VF!$A$2:$A$13</c:f>
              <c:numCache>
                <c:formatCode>General</c:formatCode>
                <c:ptCount val="12"/>
                <c:pt idx="0">
                  <c:v>0</c:v>
                </c:pt>
                <c:pt idx="1">
                  <c:v>0.49333885834519198</c:v>
                </c:pt>
                <c:pt idx="2">
                  <c:v>0.77227297403985495</c:v>
                </c:pt>
                <c:pt idx="3">
                  <c:v>0.87427150711236201</c:v>
                </c:pt>
                <c:pt idx="4">
                  <c:v>1.01165683908252</c:v>
                </c:pt>
                <c:pt idx="5">
                  <c:v>1.19900073346374</c:v>
                </c:pt>
                <c:pt idx="6">
                  <c:v>1.4966694291725899</c:v>
                </c:pt>
                <c:pt idx="7">
                  <c:v>1.6860950494309801</c:v>
                </c:pt>
                <c:pt idx="8">
                  <c:v>2.0004162816500699</c:v>
                </c:pt>
                <c:pt idx="9">
                  <c:v>2.1502913336297</c:v>
                </c:pt>
              </c:numCache>
            </c:numRef>
          </c:xVal>
          <c:yVal>
            <c:numRef>
              <c:f>IF_VF!$B$2:$B$13</c:f>
              <c:numCache>
                <c:formatCode>0.00E+00</c:formatCode>
                <c:ptCount val="12"/>
                <c:pt idx="0" formatCode="General">
                  <c:v>0</c:v>
                </c:pt>
                <c:pt idx="1">
                  <c:v>1.0000000000000001E-9</c:v>
                </c:pt>
                <c:pt idx="2">
                  <c:v>9.9999999999999995E-7</c:v>
                </c:pt>
                <c:pt idx="3" formatCode="General">
                  <c:v>1.39534887847158</c:v>
                </c:pt>
                <c:pt idx="4" formatCode="General">
                  <c:v>4.6511629282385902</c:v>
                </c:pt>
                <c:pt idx="5" formatCode="General">
                  <c:v>10.0775173121464</c:v>
                </c:pt>
                <c:pt idx="6" formatCode="General">
                  <c:v>19.1007752854924</c:v>
                </c:pt>
                <c:pt idx="7" formatCode="General">
                  <c:v>25.240308931345002</c:v>
                </c:pt>
                <c:pt idx="8" formatCode="General">
                  <c:v>35.1317825652065</c:v>
                </c:pt>
                <c:pt idx="9" formatCode="General">
                  <c:v>40.186045452562801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37-41DE-8F1D-F6EC4BF6C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053440"/>
        <c:axId val="972053920"/>
      </c:scatterChart>
      <c:valAx>
        <c:axId val="97205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053920"/>
        <c:crosses val="autoZero"/>
        <c:crossBetween val="midCat"/>
      </c:valAx>
      <c:valAx>
        <c:axId val="97205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05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" Type="http://schemas.openxmlformats.org/officeDocument/2006/relationships/customXml" Target="../ink/ink1.xml"/><Relationship Id="rId6" Type="http://schemas.openxmlformats.org/officeDocument/2006/relationships/customXml" Target="../ink/ink3.xml"/><Relationship Id="rId5" Type="http://schemas.openxmlformats.org/officeDocument/2006/relationships/image" Target="../media/image4.png"/><Relationship Id="rId4" Type="http://schemas.openxmlformats.org/officeDocument/2006/relationships/customXml" Target="../ink/ink2.xml"/><Relationship Id="rId9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156210</xdr:colOff>
      <xdr:row>8</xdr:row>
      <xdr:rowOff>87630</xdr:rowOff>
    </xdr:from>
    <xdr:to>
      <xdr:col>15</xdr:col>
      <xdr:colOff>427631</xdr:colOff>
      <xdr:row>20</xdr:row>
      <xdr:rowOff>112118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F15EEC-B7D1-4604-1D34-4A85DA37F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6450" y="1550670"/>
          <a:ext cx="7952381" cy="22190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578880</xdr:colOff>
      <xdr:row>21</xdr:row>
      <xdr:rowOff>72360</xdr:rowOff>
    </xdr:from>
    <xdr:to>
      <xdr:col>9</xdr:col>
      <xdr:colOff>586800</xdr:colOff>
      <xdr:row>21</xdr:row>
      <xdr:rowOff>72720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53DD59B2-DA6F-6AAD-DD24-CB986C838125}"/>
                </a:ext>
              </a:extLst>
            </xdr14:cNvPr>
            <xdr14:cNvContentPartPr/>
          </xdr14:nvContentPartPr>
          <xdr14:nvPr macro=""/>
          <xdr14:xfrm>
            <a:off x="6339600" y="3912840"/>
            <a:ext cx="792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53DD59B2-DA6F-6AAD-DD24-CB986C83812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321960" y="3895200"/>
              <a:ext cx="4356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532800</xdr:colOff>
      <xdr:row>14</xdr:row>
      <xdr:rowOff>114120</xdr:rowOff>
    </xdr:from>
    <xdr:to>
      <xdr:col>10</xdr:col>
      <xdr:colOff>533880</xdr:colOff>
      <xdr:row>14</xdr:row>
      <xdr:rowOff>114480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8FD0C638-6D78-9657-BA43-9253EF2288AD}"/>
                </a:ext>
              </a:extLst>
            </xdr14:cNvPr>
            <xdr14:cNvContentPartPr/>
          </xdr14:nvContentPartPr>
          <xdr14:nvPr macro=""/>
          <xdr14:xfrm>
            <a:off x="6933600" y="2674440"/>
            <a:ext cx="108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8FD0C638-6D78-9657-BA43-9253EF2288A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915600" y="2656440"/>
              <a:ext cx="3672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8</xdr:col>
      <xdr:colOff>445770</xdr:colOff>
      <xdr:row>10</xdr:row>
      <xdr:rowOff>0</xdr:rowOff>
    </xdr:from>
    <xdr:to>
      <xdr:col>11</xdr:col>
      <xdr:colOff>544830</xdr:colOff>
      <xdr:row>29</xdr:row>
      <xdr:rowOff>133350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C80656E-A048-041C-D875-D332FDBB118A}"/>
            </a:ext>
          </a:extLst>
        </xdr:cNvPr>
        <xdr:cNvCxnSpPr/>
      </xdr:nvCxnSpPr>
      <xdr:spPr>
        <a:xfrm flipH="1">
          <a:off x="5566410" y="1828800"/>
          <a:ext cx="2019300" cy="360807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590400</xdr:colOff>
      <xdr:row>22</xdr:row>
      <xdr:rowOff>18720</xdr:rowOff>
    </xdr:from>
    <xdr:to>
      <xdr:col>9</xdr:col>
      <xdr:colOff>590760</xdr:colOff>
      <xdr:row>22</xdr:row>
      <xdr:rowOff>19080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28DDF353-EADA-00B6-4F31-776781A94B29}"/>
                </a:ext>
              </a:extLst>
            </xdr14:cNvPr>
            <xdr14:cNvContentPartPr/>
          </xdr14:nvContentPartPr>
          <xdr14:nvPr macro=""/>
          <xdr14:xfrm>
            <a:off x="6351120" y="4042080"/>
            <a:ext cx="360" cy="3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28DDF353-EADA-00B6-4F31-776781A94B2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333480" y="402408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533160</xdr:colOff>
      <xdr:row>16</xdr:row>
      <xdr:rowOff>56880</xdr:rowOff>
    </xdr:from>
    <xdr:to>
      <xdr:col>10</xdr:col>
      <xdr:colOff>533520</xdr:colOff>
      <xdr:row>16</xdr:row>
      <xdr:rowOff>57240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7AC76F7E-6154-1189-16A6-A87B7016FFE1}"/>
                </a:ext>
              </a:extLst>
            </xdr14:cNvPr>
            <xdr14:cNvContentPartPr/>
          </xdr14:nvContentPartPr>
          <xdr14:nvPr macro=""/>
          <xdr14:xfrm>
            <a:off x="6933960" y="298296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7AC76F7E-6154-1189-16A6-A87B7016FFE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916320" y="29649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605118</xdr:colOff>
      <xdr:row>9</xdr:row>
      <xdr:rowOff>170330</xdr:rowOff>
    </xdr:from>
    <xdr:to>
      <xdr:col>14</xdr:col>
      <xdr:colOff>70663</xdr:colOff>
      <xdr:row>32</xdr:row>
      <xdr:rowOff>114900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18B22E-E521-EB8B-09D8-1DC43533F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091953" y="1824318"/>
          <a:ext cx="3952381" cy="41714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14</xdr:col>
      <xdr:colOff>404754</xdr:colOff>
      <xdr:row>19</xdr:row>
      <xdr:rowOff>34011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7519CF-44BD-DB30-5640-465B942F5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" y="1280160"/>
          <a:ext cx="8085714" cy="22285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17</xdr:col>
      <xdr:colOff>21817</xdr:colOff>
      <xdr:row>24</xdr:row>
      <xdr:rowOff>87299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4B29C6-E9C3-2108-C81C-A85F0A266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0320" y="1828800"/>
          <a:ext cx="8342857" cy="26476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548640</xdr:colOff>
      <xdr:row>4</xdr:row>
      <xdr:rowOff>26670</xdr:rowOff>
    </xdr:from>
    <xdr:to>
      <xdr:col>22</xdr:col>
      <xdr:colOff>0</xdr:colOff>
      <xdr:row>26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4A6F17-97EE-5FAA-5323-0DB9A2C61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9</xdr:row>
      <xdr:rowOff>0</xdr:rowOff>
    </xdr:from>
    <xdr:to>
      <xdr:col>13</xdr:col>
      <xdr:colOff>111901</xdr:colOff>
      <xdr:row>31</xdr:row>
      <xdr:rowOff>148069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DFC27F-2270-BD19-67E7-DD41D45DF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68190" y="1645920"/>
          <a:ext cx="3952381" cy="4171429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3:59.601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22 1 24575,'0'0'-8191</inkml:trace>
  <inkml:trace contextRef="#ctx0" brushRef="#br0" timeOffset="797.39">1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4:02.232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 1 24575,'-2'0'0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6:45.799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1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6:48.954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0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B26" sqref="B26"/>
    </sheetView>
  </sheetViews>
  <sheetFormatPr defaultRowHeight="14.4" x14ac:dyDescent="0.55000000000000004"/>
  <sheetData>
    <row r="1" spans="1:3" x14ac:dyDescent="0.55000000000000004">
      <c r="A1" s="1" t="s">
        <v>3</v>
      </c>
      <c r="C1" s="1" t="s">
        <v>4</v>
      </c>
    </row>
    <row r="2" spans="1:3" x14ac:dyDescent="0.55000000000000004">
      <c r="A2" s="1">
        <v>1.4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8713-F410-453D-837B-35A372E54D6F}">
  <dimension ref="A1:D2"/>
  <sheetViews>
    <sheetView tabSelected="1" zoomScale="85" zoomScaleNormal="85" workbookViewId="0">
      <selection activeCell="D1" sqref="D1"/>
    </sheetView>
  </sheetViews>
  <sheetFormatPr defaultRowHeight="14.4" x14ac:dyDescent="0.55000000000000004"/>
  <sheetData>
    <row r="1" spans="1:4" x14ac:dyDescent="0.55000000000000004">
      <c r="A1" s="1" t="s">
        <v>5</v>
      </c>
      <c r="C1" s="1" t="s">
        <v>6</v>
      </c>
      <c r="D1" s="2"/>
    </row>
    <row r="2" spans="1:4" x14ac:dyDescent="0.55000000000000004">
      <c r="A2" s="1">
        <v>32.9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EF88-CE71-46B0-B852-A0AD48FE1829}">
  <dimension ref="A1:C2"/>
  <sheetViews>
    <sheetView workbookViewId="0">
      <selection activeCell="A2" sqref="A2"/>
    </sheetView>
  </sheetViews>
  <sheetFormatPr defaultRowHeight="14.4" x14ac:dyDescent="0.55000000000000004"/>
  <sheetData>
    <row r="1" spans="1:3" x14ac:dyDescent="0.55000000000000004">
      <c r="A1" s="1" t="s">
        <v>0</v>
      </c>
      <c r="C1" s="1" t="s">
        <v>2</v>
      </c>
    </row>
    <row r="2" spans="1:3" x14ac:dyDescent="0.55000000000000004">
      <c r="A2" s="1">
        <v>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C204-1871-4182-BAAB-6E69454BB376}">
  <dimension ref="A1:C2"/>
  <sheetViews>
    <sheetView workbookViewId="0">
      <selection activeCell="B7" sqref="B7"/>
    </sheetView>
  </sheetViews>
  <sheetFormatPr defaultRowHeight="14.4" x14ac:dyDescent="0.55000000000000004"/>
  <sheetData>
    <row r="1" spans="1:3" x14ac:dyDescent="0.55000000000000004">
      <c r="A1" s="1" t="s">
        <v>7</v>
      </c>
      <c r="C1" s="1" t="s">
        <v>1</v>
      </c>
    </row>
    <row r="2" spans="1:3" x14ac:dyDescent="0.55000000000000004">
      <c r="A2" s="1">
        <v>202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6E17-57C2-4B7B-BC44-F8D73FE87337}">
  <dimension ref="A1:C13"/>
  <sheetViews>
    <sheetView workbookViewId="0">
      <selection activeCell="C11" sqref="C11"/>
    </sheetView>
  </sheetViews>
  <sheetFormatPr defaultRowHeight="14.4" x14ac:dyDescent="0.55000000000000004"/>
  <cols>
    <col min="1" max="2" width="8.83984375" style="1"/>
    <col min="3" max="3" width="10.05078125" bestFit="1" customWidth="1"/>
  </cols>
  <sheetData>
    <row r="1" spans="1:3" x14ac:dyDescent="0.55000000000000004">
      <c r="A1" s="3" t="s">
        <v>3</v>
      </c>
      <c r="B1" s="3" t="s">
        <v>0</v>
      </c>
    </row>
    <row r="2" spans="1:3" x14ac:dyDescent="0.55000000000000004">
      <c r="A2">
        <v>0</v>
      </c>
      <c r="B2">
        <v>0</v>
      </c>
    </row>
    <row r="3" spans="1:3" x14ac:dyDescent="0.55000000000000004">
      <c r="A3">
        <v>0.49333885834519198</v>
      </c>
      <c r="B3" s="4">
        <v>1.0000000000000001E-9</v>
      </c>
    </row>
    <row r="4" spans="1:3" x14ac:dyDescent="0.55000000000000004">
      <c r="A4">
        <v>0.77227297403985495</v>
      </c>
      <c r="B4" s="4">
        <v>9.9999999999999995E-7</v>
      </c>
    </row>
    <row r="5" spans="1:3" x14ac:dyDescent="0.55000000000000004">
      <c r="A5">
        <v>0.87427150711236201</v>
      </c>
      <c r="B5">
        <v>1.39534887847158</v>
      </c>
    </row>
    <row r="6" spans="1:3" x14ac:dyDescent="0.55000000000000004">
      <c r="A6">
        <v>1.01165683908252</v>
      </c>
      <c r="B6">
        <v>4.6511629282385902</v>
      </c>
    </row>
    <row r="7" spans="1:3" x14ac:dyDescent="0.55000000000000004">
      <c r="A7">
        <v>1.19900073346374</v>
      </c>
      <c r="B7">
        <v>10.0775173121464</v>
      </c>
    </row>
    <row r="8" spans="1:3" x14ac:dyDescent="0.55000000000000004">
      <c r="A8">
        <v>1.4966694291725899</v>
      </c>
      <c r="B8">
        <v>19.1007752854924</v>
      </c>
    </row>
    <row r="9" spans="1:3" x14ac:dyDescent="0.55000000000000004">
      <c r="A9">
        <v>1.6860950494309801</v>
      </c>
      <c r="B9">
        <v>25.240308931345002</v>
      </c>
    </row>
    <row r="10" spans="1:3" x14ac:dyDescent="0.55000000000000004">
      <c r="A10">
        <v>2.0004162816500699</v>
      </c>
      <c r="B10">
        <v>35.1317825652065</v>
      </c>
    </row>
    <row r="11" spans="1:3" x14ac:dyDescent="0.55000000000000004">
      <c r="A11">
        <v>2.1502913336297</v>
      </c>
      <c r="B11">
        <v>40.186045452562801</v>
      </c>
      <c r="C11">
        <f>(A11-A5)*10^3/(B11-B5)</f>
        <v>32.894996460816508</v>
      </c>
    </row>
    <row r="12" spans="1:3" x14ac:dyDescent="0.55000000000000004">
      <c r="A12"/>
      <c r="B12"/>
    </row>
    <row r="13" spans="1:3" x14ac:dyDescent="0.55000000000000004">
      <c r="A13"/>
      <c r="B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VF</vt:lpstr>
      <vt:lpstr>Rd</vt:lpstr>
      <vt:lpstr>IF</vt:lpstr>
      <vt:lpstr>Qc</vt:lpstr>
      <vt:lpstr>IF_VF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 Nguyen</cp:lastModifiedBy>
  <dcterms:created xsi:type="dcterms:W3CDTF">2015-06-05T18:17:20Z</dcterms:created>
  <dcterms:modified xsi:type="dcterms:W3CDTF">2026-02-10T07:13:26Z</dcterms:modified>
</cp:coreProperties>
</file>