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Mosfet\G3R12MT12K\"/>
    </mc:Choice>
  </mc:AlternateContent>
  <xr:revisionPtr revIDLastSave="0" documentId="13_ncr:1_{16443CB6-E73A-46C5-8CA4-4661EB8DBEEF}" xr6:coauthVersionLast="47" xr6:coauthVersionMax="47" xr10:uidLastSave="{00000000-0000-0000-0000-000000000000}"/>
  <bookViews>
    <workbookView xWindow="-96" yWindow="-96" windowWidth="23232" windowHeight="13872" firstSheet="1" activeTab="12" xr2:uid="{88E80F71-10DE-4B2D-8091-3D8E143AEA8C}"/>
  </bookViews>
  <sheets>
    <sheet name="Capacitance" sheetId="1" r:id="rId1"/>
    <sheet name="Rds(on)" sheetId="2" r:id="rId2"/>
    <sheet name="Output" sheetId="3" r:id="rId3"/>
    <sheet name="Rg" sheetId="4" r:id="rId4"/>
    <sheet name="Transfer" sheetId="5" r:id="rId5"/>
    <sheet name="VTH" sheetId="6" r:id="rId6"/>
    <sheet name="body diode" sheetId="7" r:id="rId7"/>
    <sheet name="Ciss" sheetId="8" r:id="rId8"/>
    <sheet name="Coss" sheetId="9" r:id="rId9"/>
    <sheet name="Crss" sheetId="10" r:id="rId10"/>
    <sheet name="Eon" sheetId="11" r:id="rId11"/>
    <sheet name="Eoff" sheetId="12" r:id="rId12"/>
    <sheet name="ID_25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<sst xmlns="http://schemas.openxmlformats.org/spreadsheetml/2006/main" count="70" uniqueCount="28">
  <si>
    <t>Ciss</t>
    <phoneticPr fontId="1" type="noConversion"/>
  </si>
  <si>
    <t>Coss</t>
    <phoneticPr fontId="1" type="noConversion"/>
  </si>
  <si>
    <t>Crss</t>
    <phoneticPr fontId="1" type="noConversion"/>
  </si>
  <si>
    <t>9335pF</t>
    <phoneticPr fontId="1" type="noConversion"/>
  </si>
  <si>
    <t>284pF</t>
    <phoneticPr fontId="1" type="noConversion"/>
  </si>
  <si>
    <t>22.8pF</t>
    <phoneticPr fontId="1" type="noConversion"/>
  </si>
  <si>
    <t>Rds(on)</t>
  </si>
  <si>
    <t>Vgs</t>
    <phoneticPr fontId="1" type="noConversion"/>
  </si>
  <si>
    <t>18V</t>
    <phoneticPr fontId="1" type="noConversion"/>
  </si>
  <si>
    <t>Rg</t>
  </si>
  <si>
    <t>Vds</t>
    <phoneticPr fontId="1" type="noConversion"/>
  </si>
  <si>
    <t>10V</t>
    <phoneticPr fontId="1" type="noConversion"/>
  </si>
  <si>
    <t>VTH</t>
    <phoneticPr fontId="1" type="noConversion"/>
  </si>
  <si>
    <t>2.7V</t>
    <phoneticPr fontId="1" type="noConversion"/>
  </si>
  <si>
    <t>Vsd</t>
    <phoneticPr fontId="1" type="noConversion"/>
  </si>
  <si>
    <t>Isd</t>
    <phoneticPr fontId="1" type="noConversion"/>
  </si>
  <si>
    <t>Tj</t>
    <phoneticPr fontId="1" type="noConversion"/>
  </si>
  <si>
    <t>Vds_V</t>
  </si>
  <si>
    <t>Ciss_pF</t>
  </si>
  <si>
    <t>Coss_pF</t>
    <phoneticPr fontId="1" type="noConversion"/>
  </si>
  <si>
    <t>Crss_pF</t>
    <phoneticPr fontId="1" type="noConversion"/>
  </si>
  <si>
    <t xml:space="preserve">Vds </t>
    <phoneticPr fontId="1" type="noConversion"/>
  </si>
  <si>
    <t xml:space="preserve">Ids </t>
    <phoneticPr fontId="1" type="noConversion"/>
  </si>
  <si>
    <t>Ids</t>
    <phoneticPr fontId="1" type="noConversion"/>
  </si>
  <si>
    <t>Eoff</t>
  </si>
  <si>
    <t>Eon</t>
  </si>
  <si>
    <t>12m</t>
  </si>
  <si>
    <t>ID_25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</si>
</sst>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新細明體"/>
      <family val="1"/>
      <charset val="136"/>
    </font>
    <font>
      <sz val="12"/>
      <color rgb="FF000000"/>
      <name val="Calibri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3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11" fontId="0" fillId="0" borderId="0" xfId="0" applyNumberFormat="1">
      <alignment vertical="center"/>
    </xf>
    <xf numFmtId="11" fontId="0" fillId="0" borderId="0" xfId="0" applyNumberForma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>
      <alignment vertical="center"/>
    </xf>
  </cellXfs>
  <cellStyles count="2">
    <cellStyle name="Normal" xfId="0" builtinId="0"/>
    <cellStyle name="一般 2" xfId="1" xr:uid="{9295A55A-BE64-414C-884C-589B25DF64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Output!$A$2:$A$22</c:f>
              <c:numCache>
                <c:formatCode>General</c:formatCode>
                <c:ptCount val="21"/>
                <c:pt idx="0">
                  <c:v>0</c:v>
                </c:pt>
                <c:pt idx="1">
                  <c:v>7.7254489583151301E-2</c:v>
                </c:pt>
                <c:pt idx="2">
                  <c:v>0.2188842987188</c:v>
                </c:pt>
                <c:pt idx="3">
                  <c:v>0.38626596456814499</c:v>
                </c:pt>
                <c:pt idx="4">
                  <c:v>0.54077278261857697</c:v>
                </c:pt>
                <c:pt idx="5">
                  <c:v>0.69527960066900796</c:v>
                </c:pt>
                <c:pt idx="6">
                  <c:v>0.84978641871944005</c:v>
                </c:pt>
                <c:pt idx="7">
                  <c:v>1.0300429323676901</c:v>
                </c:pt>
                <c:pt idx="8">
                  <c:v>1.1974245982170399</c:v>
                </c:pt>
                <c:pt idx="9">
                  <c:v>1.3905581207800799</c:v>
                </c:pt>
                <c:pt idx="10">
                  <c:v>1.5836916433431201</c:v>
                </c:pt>
                <c:pt idx="11">
                  <c:v>1.78970001370507</c:v>
                </c:pt>
                <c:pt idx="12">
                  <c:v>1.9570816795544199</c:v>
                </c:pt>
                <c:pt idx="13">
                  <c:v>2.1630900499163701</c:v>
                </c:pt>
                <c:pt idx="14">
                  <c:v>2.3562235724794101</c:v>
                </c:pt>
                <c:pt idx="15">
                  <c:v>2.54935601448451</c:v>
                </c:pt>
                <c:pt idx="16">
                  <c:v>2.7553654654044002</c:v>
                </c:pt>
                <c:pt idx="17">
                  <c:v>3.0128753880778798</c:v>
                </c:pt>
                <c:pt idx="18">
                  <c:v>3.2317596867966798</c:v>
                </c:pt>
                <c:pt idx="19">
                  <c:v>3.4506439855154798</c:v>
                </c:pt>
                <c:pt idx="20">
                  <c:v>3.6437764275205802</c:v>
                </c:pt>
              </c:numCache>
            </c:numRef>
          </c:xVal>
          <c:yVal>
            <c:numRef>
              <c:f>Output!$B$2:$B$22</c:f>
              <c:numCache>
                <c:formatCode>General</c:formatCode>
                <c:ptCount val="21"/>
                <c:pt idx="0">
                  <c:v>0</c:v>
                </c:pt>
                <c:pt idx="1">
                  <c:v>12.2093082119023</c:v>
                </c:pt>
                <c:pt idx="2">
                  <c:v>27.325559717612499</c:v>
                </c:pt>
                <c:pt idx="3">
                  <c:v>44.767414651005502</c:v>
                </c:pt>
                <c:pt idx="4">
                  <c:v>59.302301894272397</c:v>
                </c:pt>
                <c:pt idx="5">
                  <c:v>73.837164741221002</c:v>
                </c:pt>
                <c:pt idx="6">
                  <c:v>88.372051984487996</c:v>
                </c:pt>
                <c:pt idx="7">
                  <c:v>103.488376679152</c:v>
                </c:pt>
                <c:pt idx="8">
                  <c:v>118.604652581181</c:v>
                </c:pt>
                <c:pt idx="9">
                  <c:v>134.302317141971</c:v>
                </c:pt>
                <c:pt idx="10">
                  <c:v>149.999981702761</c:v>
                </c:pt>
                <c:pt idx="11">
                  <c:v>166.279059318631</c:v>
                </c:pt>
                <c:pt idx="12">
                  <c:v>179.65116924437399</c:v>
                </c:pt>
                <c:pt idx="13">
                  <c:v>194.76744514640299</c:v>
                </c:pt>
                <c:pt idx="14">
                  <c:v>209.302320191511</c:v>
                </c:pt>
                <c:pt idx="15">
                  <c:v>223.25580657785699</c:v>
                </c:pt>
                <c:pt idx="16">
                  <c:v>238.37209467804399</c:v>
                </c:pt>
                <c:pt idx="17">
                  <c:v>256.395350468358</c:v>
                </c:pt>
                <c:pt idx="18">
                  <c:v>271.51162637038601</c:v>
                </c:pt>
                <c:pt idx="19">
                  <c:v>286.62789007425602</c:v>
                </c:pt>
                <c:pt idx="20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6F-4942-8D97-F881BF512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481279"/>
        <c:axId val="547484191"/>
      </c:scatterChart>
      <c:valAx>
        <c:axId val="547481279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47484191"/>
        <c:crosses val="autoZero"/>
        <c:crossBetween val="midCat"/>
      </c:valAx>
      <c:valAx>
        <c:axId val="547484191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4748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Transfer!$A$2:$A$21</c:f>
              <c:numCache>
                <c:formatCode>General</c:formatCode>
                <c:ptCount val="20"/>
                <c:pt idx="0">
                  <c:v>0</c:v>
                </c:pt>
                <c:pt idx="1">
                  <c:v>3.0125516312906901</c:v>
                </c:pt>
                <c:pt idx="2">
                  <c:v>3.9163175420503298</c:v>
                </c:pt>
                <c:pt idx="3">
                  <c:v>4.6443500804294597</c:v>
                </c:pt>
                <c:pt idx="4">
                  <c:v>5.3221760936458002</c:v>
                </c:pt>
                <c:pt idx="5">
                  <c:v>5.9748946305564496</c:v>
                </c:pt>
                <c:pt idx="6">
                  <c:v>6.5774045354421604</c:v>
                </c:pt>
                <c:pt idx="7">
                  <c:v>7.1297058083029299</c:v>
                </c:pt>
                <c:pt idx="8">
                  <c:v>7.6317984491387598</c:v>
                </c:pt>
                <c:pt idx="9">
                  <c:v>8.08368245794966</c:v>
                </c:pt>
                <c:pt idx="10">
                  <c:v>8.5355643598983999</c:v>
                </c:pt>
                <c:pt idx="11">
                  <c:v>8.9121343672408209</c:v>
                </c:pt>
                <c:pt idx="12">
                  <c:v>9.3138076371646203</c:v>
                </c:pt>
                <c:pt idx="13">
                  <c:v>9.6903755376448792</c:v>
                </c:pt>
                <c:pt idx="14">
                  <c:v>10.041840175543699</c:v>
                </c:pt>
                <c:pt idx="15">
                  <c:v>10.393304813442599</c:v>
                </c:pt>
                <c:pt idx="16">
                  <c:v>10.7447694513414</c:v>
                </c:pt>
                <c:pt idx="17">
                  <c:v>10.970711455746899</c:v>
                </c:pt>
                <c:pt idx="18">
                  <c:v>11.2719674616208</c:v>
                </c:pt>
                <c:pt idx="19">
                  <c:v>11.4225933576956</c:v>
                </c:pt>
              </c:numCache>
            </c:numRef>
          </c:xVal>
          <c:yVal>
            <c:numRef>
              <c:f>Transfer!$B$2:$B$21</c:f>
              <c:numCache>
                <c:formatCode>0.00E+00</c:formatCode>
                <c:ptCount val="20"/>
                <c:pt idx="0" formatCode="General">
                  <c:v>0</c:v>
                </c:pt>
                <c:pt idx="1">
                  <c:v>1.0000000000000001E-9</c:v>
                </c:pt>
                <c:pt idx="2" formatCode="General">
                  <c:v>1.13853075714698</c:v>
                </c:pt>
                <c:pt idx="3" formatCode="General">
                  <c:v>4.5540513672935603</c:v>
                </c:pt>
                <c:pt idx="4" formatCode="General">
                  <c:v>10.8159585880527</c:v>
                </c:pt>
                <c:pt idx="5" formatCode="General">
                  <c:v>20.493362531860399</c:v>
                </c:pt>
                <c:pt idx="6" formatCode="General">
                  <c:v>33.586334860010801</c:v>
                </c:pt>
                <c:pt idx="7" formatCode="General">
                  <c:v>48.387115267430701</c:v>
                </c:pt>
                <c:pt idx="8" formatCode="General">
                  <c:v>66.034162849972901</c:v>
                </c:pt>
                <c:pt idx="9" formatCode="General">
                  <c:v>85.388994624686305</c:v>
                </c:pt>
                <c:pt idx="10" formatCode="General">
                  <c:v>105.88235715654599</c:v>
                </c:pt>
                <c:pt idx="11" formatCode="General">
                  <c:v>126.375719688407</c:v>
                </c:pt>
                <c:pt idx="12" formatCode="General">
                  <c:v>150.284626717512</c:v>
                </c:pt>
                <c:pt idx="13" formatCode="General">
                  <c:v>175.332088390862</c:v>
                </c:pt>
                <c:pt idx="14" formatCode="General">
                  <c:v>200.379514233565</c:v>
                </c:pt>
                <c:pt idx="15" formatCode="General">
                  <c:v>224.85769858479199</c:v>
                </c:pt>
                <c:pt idx="16" formatCode="General">
                  <c:v>251.04365518464201</c:v>
                </c:pt>
                <c:pt idx="17" formatCode="General">
                  <c:v>268.12143738861101</c:v>
                </c:pt>
                <c:pt idx="18" formatCode="General">
                  <c:v>289.18406529904502</c:v>
                </c:pt>
                <c:pt idx="19" formatCode="General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CE-4A6F-ADC6-7DA995555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199632"/>
        <c:axId val="1262205456"/>
      </c:scatterChart>
      <c:valAx>
        <c:axId val="126219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62205456"/>
        <c:crosses val="autoZero"/>
        <c:crossBetween val="midCat"/>
      </c:valAx>
      <c:valAx>
        <c:axId val="1262205456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62199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Ciss!$A$2:$A$21</c:f>
              <c:numCache>
                <c:formatCode>General</c:formatCode>
                <c:ptCount val="20"/>
                <c:pt idx="0">
                  <c:v>0</c:v>
                </c:pt>
                <c:pt idx="1">
                  <c:v>51.172833033368498</c:v>
                </c:pt>
                <c:pt idx="2">
                  <c:v>108.74191231389599</c:v>
                </c:pt>
                <c:pt idx="3">
                  <c:v>172.707953605607</c:v>
                </c:pt>
                <c:pt idx="4">
                  <c:v>245.20250216786999</c:v>
                </c:pt>
                <c:pt idx="5">
                  <c:v>326.22591588269597</c:v>
                </c:pt>
                <c:pt idx="6">
                  <c:v>381.66327096284903</c:v>
                </c:pt>
                <c:pt idx="7">
                  <c:v>439.23235024337703</c:v>
                </c:pt>
                <c:pt idx="8">
                  <c:v>492.53726535913199</c:v>
                </c:pt>
                <c:pt idx="9">
                  <c:v>543.70991945149501</c:v>
                </c:pt>
                <c:pt idx="10">
                  <c:v>597.01483456724998</c:v>
                </c:pt>
                <c:pt idx="11">
                  <c:v>648.18766760061897</c:v>
                </c:pt>
                <c:pt idx="12">
                  <c:v>701.49240377536796</c:v>
                </c:pt>
                <c:pt idx="13">
                  <c:v>765.45844506707897</c:v>
                </c:pt>
                <c:pt idx="14">
                  <c:v>837.95299362934202</c:v>
                </c:pt>
                <c:pt idx="15">
                  <c:v>893.39016976848905</c:v>
                </c:pt>
                <c:pt idx="16">
                  <c:v>927.50527249673098</c:v>
                </c:pt>
                <c:pt idx="17">
                  <c:v>957.35603211919499</c:v>
                </c:pt>
                <c:pt idx="18">
                  <c:v>980.81018761248697</c:v>
                </c:pt>
                <c:pt idx="19">
                  <c:v>1000</c:v>
                </c:pt>
              </c:numCache>
            </c:numRef>
          </c:xVal>
          <c:yVal>
            <c:numRef>
              <c:f>Ciss!$B$2:$B$21</c:f>
              <c:numCache>
                <c:formatCode>General</c:formatCode>
                <c:ptCount val="20"/>
                <c:pt idx="0">
                  <c:v>10000</c:v>
                </c:pt>
                <c:pt idx="1">
                  <c:v>9478.6002511929892</c:v>
                </c:pt>
                <c:pt idx="2">
                  <c:v>9478.6002511929892</c:v>
                </c:pt>
                <c:pt idx="3">
                  <c:v>9478.6002511929892</c:v>
                </c:pt>
                <c:pt idx="4">
                  <c:v>9478.6002511929892</c:v>
                </c:pt>
                <c:pt idx="5">
                  <c:v>9478.6002511929892</c:v>
                </c:pt>
                <c:pt idx="6">
                  <c:v>9478.6002511929892</c:v>
                </c:pt>
                <c:pt idx="7">
                  <c:v>9478.6002511929892</c:v>
                </c:pt>
                <c:pt idx="8">
                  <c:v>9478.6002511929892</c:v>
                </c:pt>
                <c:pt idx="9">
                  <c:v>9478.6002511929892</c:v>
                </c:pt>
                <c:pt idx="10">
                  <c:v>9478.6002511929892</c:v>
                </c:pt>
                <c:pt idx="11">
                  <c:v>9478.6002511929892</c:v>
                </c:pt>
                <c:pt idx="12">
                  <c:v>9478.6002511929892</c:v>
                </c:pt>
                <c:pt idx="13">
                  <c:v>9478.6002511929892</c:v>
                </c:pt>
                <c:pt idx="14">
                  <c:v>9478.6002511929892</c:v>
                </c:pt>
                <c:pt idx="15">
                  <c:v>9478.6002511929892</c:v>
                </c:pt>
                <c:pt idx="16">
                  <c:v>9478.6002511929892</c:v>
                </c:pt>
                <c:pt idx="17">
                  <c:v>9478.6002511929892</c:v>
                </c:pt>
                <c:pt idx="18">
                  <c:v>9478.6002511929892</c:v>
                </c:pt>
                <c:pt idx="19">
                  <c:v>9478.6002511929892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4D-4FA4-AB13-1CA62F137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772688"/>
        <c:axId val="1424773936"/>
      </c:scatterChart>
      <c:valAx>
        <c:axId val="1424772688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24773936"/>
        <c:crosses val="autoZero"/>
        <c:crossBetween val="midCat"/>
      </c:valAx>
      <c:valAx>
        <c:axId val="1424773936"/>
        <c:scaling>
          <c:logBase val="10"/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2477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Coss!$A$2:$A$23</c:f>
              <c:numCache>
                <c:formatCode>0.00E+00</c:formatCode>
                <c:ptCount val="22"/>
                <c:pt idx="0" formatCode="General">
                  <c:v>0</c:v>
                </c:pt>
                <c:pt idx="1">
                  <c:v>1.0000000000000001E-9</c:v>
                </c:pt>
                <c:pt idx="2" formatCode="General">
                  <c:v>2.13226102339214</c:v>
                </c:pt>
                <c:pt idx="3" formatCode="General">
                  <c:v>6.3966041291710196</c:v>
                </c:pt>
                <c:pt idx="4" formatCode="General">
                  <c:v>10.6609472349499</c:v>
                </c:pt>
                <c:pt idx="5" formatCode="General">
                  <c:v>14.9252903407286</c:v>
                </c:pt>
                <c:pt idx="6" formatCode="General">
                  <c:v>29.850938563468699</c:v>
                </c:pt>
                <c:pt idx="7" formatCode="General">
                  <c:v>61.833780268318399</c:v>
                </c:pt>
                <c:pt idx="8" formatCode="General">
                  <c:v>100.21322610233899</c:v>
                </c:pt>
                <c:pt idx="9" formatCode="General">
                  <c:v>138.59267193635901</c:v>
                </c:pt>
                <c:pt idx="10" formatCode="General">
                  <c:v>181.23663981716501</c:v>
                </c:pt>
                <c:pt idx="11" formatCode="General">
                  <c:v>228.144950803749</c:v>
                </c:pt>
                <c:pt idx="12" formatCode="General">
                  <c:v>283.58212694289602</c:v>
                </c:pt>
                <c:pt idx="13" formatCode="General">
                  <c:v>334.75478103525899</c:v>
                </c:pt>
                <c:pt idx="14" formatCode="General">
                  <c:v>394.45630028018502</c:v>
                </c:pt>
                <c:pt idx="15" formatCode="General">
                  <c:v>447.76121539594101</c:v>
                </c:pt>
                <c:pt idx="16" formatCode="General">
                  <c:v>518.12368187581603</c:v>
                </c:pt>
                <c:pt idx="17" formatCode="General">
                  <c:v>592.75049146147205</c:v>
                </c:pt>
                <c:pt idx="18" formatCode="General">
                  <c:v>686.56711343463996</c:v>
                </c:pt>
                <c:pt idx="19" formatCode="General">
                  <c:v>776.11939230202904</c:v>
                </c:pt>
                <c:pt idx="20" formatCode="General">
                  <c:v>867.80375325180501</c:v>
                </c:pt>
                <c:pt idx="21" formatCode="General">
                  <c:v>1000</c:v>
                </c:pt>
              </c:numCache>
            </c:numRef>
          </c:xVal>
          <c:yVal>
            <c:numRef>
              <c:f>Coss!$B$2:$B$23</c:f>
              <c:numCache>
                <c:formatCode>General</c:formatCode>
                <c:ptCount val="22"/>
                <c:pt idx="0">
                  <c:v>10000</c:v>
                </c:pt>
                <c:pt idx="1">
                  <c:v>7252.1223893292399</c:v>
                </c:pt>
                <c:pt idx="2">
                  <c:v>4985.1052894228096</c:v>
                </c:pt>
                <c:pt idx="3">
                  <c:v>3472.9431723163698</c:v>
                </c:pt>
                <c:pt idx="4">
                  <c:v>2586.9658630325298</c:v>
                </c:pt>
                <c:pt idx="5">
                  <c:v>1927.0088925849</c:v>
                </c:pt>
                <c:pt idx="6">
                  <c:v>1360.5701778550001</c:v>
                </c:pt>
                <c:pt idx="7">
                  <c:v>973.58094046349197</c:v>
                </c:pt>
                <c:pt idx="8">
                  <c:v>775.41644515889004</c:v>
                </c:pt>
                <c:pt idx="9">
                  <c:v>642.89435536703002</c:v>
                </c:pt>
                <c:pt idx="10">
                  <c:v>554.86345667139994</c:v>
                </c:pt>
                <c:pt idx="11">
                  <c:v>491.88140816637002</c:v>
                </c:pt>
                <c:pt idx="12">
                  <c:v>436.048639901694</c:v>
                </c:pt>
                <c:pt idx="13">
                  <c:v>397.04272132924399</c:v>
                </c:pt>
                <c:pt idx="14">
                  <c:v>366.398281932744</c:v>
                </c:pt>
                <c:pt idx="15">
                  <c:v>338.119222956557</c:v>
                </c:pt>
                <c:pt idx="16">
                  <c:v>312.02260040169602</c:v>
                </c:pt>
                <c:pt idx="17">
                  <c:v>287.94016001256898</c:v>
                </c:pt>
                <c:pt idx="18">
                  <c:v>284.111200089161</c:v>
                </c:pt>
                <c:pt idx="19">
                  <c:v>284.111200089161</c:v>
                </c:pt>
                <c:pt idx="20">
                  <c:v>284.111200089161</c:v>
                </c:pt>
                <c:pt idx="21">
                  <c:v>287.94016001256898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03-435E-92DB-7BBBD5544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567584"/>
        <c:axId val="1342565504"/>
      </c:scatterChart>
      <c:valAx>
        <c:axId val="1342567584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42565504"/>
        <c:crosses val="autoZero"/>
        <c:crossBetween val="midCat"/>
      </c:valAx>
      <c:valAx>
        <c:axId val="1342565504"/>
        <c:scaling>
          <c:logBase val="10"/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42567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Crss!$A$2:$A$23</c:f>
              <c:numCache>
                <c:formatCode>0.00E+00</c:formatCode>
                <c:ptCount val="22"/>
                <c:pt idx="0" formatCode="General">
                  <c:v>0</c:v>
                </c:pt>
                <c:pt idx="1">
                  <c:v>1.0000000000000001E-9</c:v>
                </c:pt>
                <c:pt idx="2">
                  <c:v>2.0000000000000001E-9</c:v>
                </c:pt>
                <c:pt idx="3">
                  <c:v>3E-9</c:v>
                </c:pt>
                <c:pt idx="4">
                  <c:v>4.0000000000000002E-9</c:v>
                </c:pt>
                <c:pt idx="5">
                  <c:v>5.0000000000000001E-9</c:v>
                </c:pt>
                <c:pt idx="6" formatCode="General">
                  <c:v>2.13226102339214</c:v>
                </c:pt>
                <c:pt idx="7" formatCode="General">
                  <c:v>4.2643431057788801</c:v>
                </c:pt>
                <c:pt idx="8" formatCode="General">
                  <c:v>6.3966041291710196</c:v>
                </c:pt>
                <c:pt idx="9" formatCode="General">
                  <c:v>10.6609472349499</c:v>
                </c:pt>
                <c:pt idx="10" formatCode="General">
                  <c:v>12.793208258342</c:v>
                </c:pt>
                <c:pt idx="11" formatCode="General">
                  <c:v>12.793208258342</c:v>
                </c:pt>
                <c:pt idx="12" formatCode="General">
                  <c:v>25.5864165166841</c:v>
                </c:pt>
                <c:pt idx="13" formatCode="General">
                  <c:v>66.098123374097298</c:v>
                </c:pt>
                <c:pt idx="14" formatCode="General">
                  <c:v>138.59267193635901</c:v>
                </c:pt>
                <c:pt idx="15" formatCode="General">
                  <c:v>228.144950803749</c:v>
                </c:pt>
                <c:pt idx="16" formatCode="General">
                  <c:v>328.358355847094</c:v>
                </c:pt>
                <c:pt idx="17" formatCode="General">
                  <c:v>460.55442365428303</c:v>
                </c:pt>
                <c:pt idx="18" formatCode="General">
                  <c:v>605.54369971981396</c:v>
                </c:pt>
                <c:pt idx="19" formatCode="General">
                  <c:v>752.66523680873695</c:v>
                </c:pt>
                <c:pt idx="20" formatCode="General">
                  <c:v>880.59696151014703</c:v>
                </c:pt>
                <c:pt idx="21" formatCode="General">
                  <c:v>1000</c:v>
                </c:pt>
              </c:numCache>
            </c:numRef>
          </c:xVal>
          <c:yVal>
            <c:numRef>
              <c:f>Crss!$B$2:$B$23</c:f>
              <c:numCache>
                <c:formatCode>General</c:formatCode>
                <c:ptCount val="22"/>
                <c:pt idx="0">
                  <c:v>10000</c:v>
                </c:pt>
                <c:pt idx="1">
                  <c:v>6175.8643474350101</c:v>
                </c:pt>
                <c:pt idx="2">
                  <c:v>3567.18350510767</c:v>
                </c:pt>
                <c:pt idx="3">
                  <c:v>2657.1654325915601</c:v>
                </c:pt>
                <c:pt idx="4">
                  <c:v>1778.2795349066</c:v>
                </c:pt>
                <c:pt idx="5">
                  <c:v>1272.4805307219101</c:v>
                </c:pt>
                <c:pt idx="6">
                  <c:v>818.07016755908296</c:v>
                </c:pt>
                <c:pt idx="7">
                  <c:v>498.51076230592901</c:v>
                </c:pt>
                <c:pt idx="8">
                  <c:v>295.75374985454101</c:v>
                </c:pt>
                <c:pt idx="9">
                  <c:v>182.65345263225399</c:v>
                </c:pt>
                <c:pt idx="10">
                  <c:v>114.32452330424999</c:v>
                </c:pt>
                <c:pt idx="11">
                  <c:v>67.825792401080193</c:v>
                </c:pt>
                <c:pt idx="12">
                  <c:v>41.331303607429497</c:v>
                </c:pt>
                <c:pt idx="13">
                  <c:v>33.811919130036998</c:v>
                </c:pt>
                <c:pt idx="14">
                  <c:v>31.202257118878801</c:v>
                </c:pt>
                <c:pt idx="15">
                  <c:v>28.794013305436401</c:v>
                </c:pt>
                <c:pt idx="16">
                  <c:v>26.571626960640501</c:v>
                </c:pt>
                <c:pt idx="17">
                  <c:v>24.194738765621398</c:v>
                </c:pt>
                <c:pt idx="18">
                  <c:v>22.628252389276501</c:v>
                </c:pt>
                <c:pt idx="19">
                  <c:v>22.628252389276501</c:v>
                </c:pt>
                <c:pt idx="20">
                  <c:v>22.628252389276501</c:v>
                </c:pt>
                <c:pt idx="21">
                  <c:v>22.628252389276501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3B-4FF0-A1BC-D043E53D6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766928"/>
        <c:axId val="1428763184"/>
      </c:scatterChart>
      <c:valAx>
        <c:axId val="1428766928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28763184"/>
        <c:crosses val="autoZero"/>
        <c:crossBetween val="midCat"/>
      </c:valAx>
      <c:valAx>
        <c:axId val="1428763184"/>
        <c:scaling>
          <c:logBase val="10"/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2876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91440</xdr:colOff>
      <xdr:row>2</xdr:row>
      <xdr:rowOff>45720</xdr:rowOff>
    </xdr:from>
    <xdr:to>
      <xdr:col>15</xdr:col>
      <xdr:colOff>457866</xdr:colOff>
      <xdr:row>5</xdr:row>
      <xdr:rowOff>152463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7C25FB0-8DDE-4C19-8C7A-2FF11FA6E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0240" y="457200"/>
          <a:ext cx="7681626" cy="723963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1</xdr:row>
      <xdr:rowOff>190500</xdr:rowOff>
    </xdr:from>
    <xdr:to>
      <xdr:col>14</xdr:col>
      <xdr:colOff>396240</xdr:colOff>
      <xdr:row>6</xdr:row>
      <xdr:rowOff>76200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1D0EA9D8-726C-4291-8421-706C5775FE04}"/>
            </a:ext>
          </a:extLst>
        </xdr:cNvPr>
        <xdr:cNvSpPr/>
      </xdr:nvSpPr>
      <xdr:spPr>
        <a:xfrm>
          <a:off x="7315200" y="396240"/>
          <a:ext cx="1615440" cy="9144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198120</xdr:colOff>
      <xdr:row>2</xdr:row>
      <xdr:rowOff>30480</xdr:rowOff>
    </xdr:from>
    <xdr:to>
      <xdr:col>13</xdr:col>
      <xdr:colOff>602649</xdr:colOff>
      <xdr:row>6</xdr:row>
      <xdr:rowOff>61034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AB51BF8-4339-48EE-B69C-6EF8C7ED6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441960"/>
          <a:ext cx="7719729" cy="853514"/>
        </a:xfrm>
        <a:prstGeom prst="rect">
          <a:avLst/>
        </a:prstGeom>
      </xdr:spPr>
    </xdr:pic>
    <xdr:clientData/>
  </xdr:twoCellAnchor>
  <xdr:twoCellAnchor>
    <xdr:from>
      <xdr:col>11</xdr:col>
      <xdr:colOff>121920</xdr:colOff>
      <xdr:row>3</xdr:row>
      <xdr:rowOff>30480</xdr:rowOff>
    </xdr:from>
    <xdr:to>
      <xdr:col>12</xdr:col>
      <xdr:colOff>548640</xdr:colOff>
      <xdr:row>5</xdr:row>
      <xdr:rowOff>83820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576B718-1DB5-4DA2-8EAF-D32CDE549B80}"/>
            </a:ext>
          </a:extLst>
        </xdr:cNvPr>
        <xdr:cNvSpPr/>
      </xdr:nvSpPr>
      <xdr:spPr>
        <a:xfrm>
          <a:off x="6827520" y="647700"/>
          <a:ext cx="1036320" cy="46482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2</xdr:col>
      <xdr:colOff>175260</xdr:colOff>
      <xdr:row>9</xdr:row>
      <xdr:rowOff>60961</xdr:rowOff>
    </xdr:from>
    <xdr:to>
      <xdr:col>13</xdr:col>
      <xdr:colOff>195354</xdr:colOff>
      <xdr:row>29</xdr:row>
      <xdr:rowOff>91441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A68FFD8F-3F35-4C2A-B53F-516103A76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4460" y="1912621"/>
          <a:ext cx="6725694" cy="41452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358140</xdr:colOff>
      <xdr:row>0</xdr:row>
      <xdr:rowOff>175260</xdr:rowOff>
    </xdr:from>
    <xdr:to>
      <xdr:col>10</xdr:col>
      <xdr:colOff>114649</xdr:colOff>
      <xdr:row>23</xdr:row>
      <xdr:rowOff>190911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679E2CD-6AB4-4947-9EB5-E9A72C3CE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6940" y="175260"/>
          <a:ext cx="4023709" cy="4747671"/>
        </a:xfrm>
        <a:prstGeom prst="rect">
          <a:avLst/>
        </a:prstGeom>
      </xdr:spPr>
    </xdr:pic>
    <xdr:clientData/>
  </xdr:twoCellAnchor>
  <xdr:twoCellAnchor>
    <xdr:from>
      <xdr:col>11</xdr:col>
      <xdr:colOff>255270</xdr:colOff>
      <xdr:row>3</xdr:row>
      <xdr:rowOff>198120</xdr:rowOff>
    </xdr:from>
    <xdr:to>
      <xdr:col>18</xdr:col>
      <xdr:colOff>560070</xdr:colOff>
      <xdr:row>17</xdr:row>
      <xdr:rowOff>60960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B658C51B-D326-4A59-B060-E5E3FD4E3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358140</xdr:colOff>
      <xdr:row>4</xdr:row>
      <xdr:rowOff>160020</xdr:rowOff>
    </xdr:from>
    <xdr:to>
      <xdr:col>7</xdr:col>
      <xdr:colOff>205740</xdr:colOff>
      <xdr:row>6</xdr:row>
      <xdr:rowOff>198120</xdr:rowOff>
    </xdr:to>
    <xdr:cxnSp macro="">
      <xdr:nvCxnSpPr>
        <xdr:cNvPr id="5" name="直線單箭頭接點 4">
          <a:extLst>
            <a:ext uri="{FF2B5EF4-FFF2-40B4-BE49-F238E27FC236}">
              <a16:creationId xmlns:a16="http://schemas.microsoft.com/office/drawing/2014/main" id="{27FF9B79-38EA-4A57-A13B-4D0A0826A9AD}"/>
            </a:ext>
          </a:extLst>
        </xdr:cNvPr>
        <xdr:cNvCxnSpPr/>
      </xdr:nvCxnSpPr>
      <xdr:spPr>
        <a:xfrm>
          <a:off x="4015740" y="982980"/>
          <a:ext cx="457200" cy="449580"/>
        </a:xfrm>
        <a:prstGeom prst="straightConnector1">
          <a:avLst/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388620</xdr:colOff>
      <xdr:row>2</xdr:row>
      <xdr:rowOff>68580</xdr:rowOff>
    </xdr:from>
    <xdr:to>
      <xdr:col>14</xdr:col>
      <xdr:colOff>282618</xdr:colOff>
      <xdr:row>3</xdr:row>
      <xdr:rowOff>106701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BB57A52-EAC6-443B-8830-5BB4C1606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220" y="480060"/>
          <a:ext cx="7818798" cy="243861"/>
        </a:xfrm>
        <a:prstGeom prst="rect">
          <a:avLst/>
        </a:prstGeom>
      </xdr:spPr>
    </xdr:pic>
    <xdr:clientData/>
  </xdr:twoCellAnchor>
  <xdr:twoCellAnchor>
    <xdr:from>
      <xdr:col>10</xdr:col>
      <xdr:colOff>556260</xdr:colOff>
      <xdr:row>2</xdr:row>
      <xdr:rowOff>30480</xdr:rowOff>
    </xdr:from>
    <xdr:to>
      <xdr:col>13</xdr:col>
      <xdr:colOff>68580</xdr:colOff>
      <xdr:row>3</xdr:row>
      <xdr:rowOff>144780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66D7EBC7-C234-407C-B5EE-8A9B2EF8BE54}"/>
            </a:ext>
          </a:extLst>
        </xdr:cNvPr>
        <xdr:cNvSpPr/>
      </xdr:nvSpPr>
      <xdr:spPr>
        <a:xfrm>
          <a:off x="6652260" y="441960"/>
          <a:ext cx="1341120" cy="32004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388620</xdr:colOff>
      <xdr:row>0</xdr:row>
      <xdr:rowOff>190500</xdr:rowOff>
    </xdr:from>
    <xdr:to>
      <xdr:col>10</xdr:col>
      <xdr:colOff>53681</xdr:colOff>
      <xdr:row>23</xdr:row>
      <xdr:rowOff>91842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62FB088-9D44-4ACF-99BD-686A260B6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7420" y="190500"/>
          <a:ext cx="3932261" cy="4633362"/>
        </a:xfrm>
        <a:prstGeom prst="rect">
          <a:avLst/>
        </a:prstGeom>
      </xdr:spPr>
    </xdr:pic>
    <xdr:clientData/>
  </xdr:twoCellAnchor>
  <xdr:twoCellAnchor>
    <xdr:from>
      <xdr:col>7</xdr:col>
      <xdr:colOff>144780</xdr:colOff>
      <xdr:row>13</xdr:row>
      <xdr:rowOff>7620</xdr:rowOff>
    </xdr:from>
    <xdr:to>
      <xdr:col>8</xdr:col>
      <xdr:colOff>45720</xdr:colOff>
      <xdr:row>14</xdr:row>
      <xdr:rowOff>76200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0A3B21C3-D3E5-4F00-B39F-61A029A032D4}"/>
            </a:ext>
          </a:extLst>
        </xdr:cNvPr>
        <xdr:cNvCxnSpPr/>
      </xdr:nvCxnSpPr>
      <xdr:spPr>
        <a:xfrm>
          <a:off x="4411980" y="2682240"/>
          <a:ext cx="510540" cy="274320"/>
        </a:xfrm>
        <a:prstGeom prst="straightConnector1">
          <a:avLst/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118110</xdr:colOff>
      <xdr:row>4</xdr:row>
      <xdr:rowOff>144780</xdr:rowOff>
    </xdr:from>
    <xdr:to>
      <xdr:col>18</xdr:col>
      <xdr:colOff>422910</xdr:colOff>
      <xdr:row>18</xdr:row>
      <xdr:rowOff>7620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A2D3A6D8-E602-46EA-B4AE-8B03999A1D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251460</xdr:colOff>
      <xdr:row>2</xdr:row>
      <xdr:rowOff>22860</xdr:rowOff>
    </xdr:from>
    <xdr:to>
      <xdr:col>14</xdr:col>
      <xdr:colOff>76872</xdr:colOff>
      <xdr:row>4</xdr:row>
      <xdr:rowOff>91482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3640E0F-4E94-4691-9F37-D983E6518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060" y="434340"/>
          <a:ext cx="7750212" cy="480102"/>
        </a:xfrm>
        <a:prstGeom prst="rect">
          <a:avLst/>
        </a:prstGeom>
      </xdr:spPr>
    </xdr:pic>
    <xdr:clientData/>
  </xdr:twoCellAnchor>
  <xdr:twoCellAnchor>
    <xdr:from>
      <xdr:col>10</xdr:col>
      <xdr:colOff>304800</xdr:colOff>
      <xdr:row>2</xdr:row>
      <xdr:rowOff>76200</xdr:rowOff>
    </xdr:from>
    <xdr:to>
      <xdr:col>11</xdr:col>
      <xdr:colOff>182880</xdr:colOff>
      <xdr:row>3</xdr:row>
      <xdr:rowOff>60960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CBFD567A-5CD2-4C38-9007-348E79561AAF}"/>
            </a:ext>
          </a:extLst>
        </xdr:cNvPr>
        <xdr:cNvSpPr/>
      </xdr:nvSpPr>
      <xdr:spPr>
        <a:xfrm>
          <a:off x="6400800" y="487680"/>
          <a:ext cx="487680" cy="190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121920</xdr:rowOff>
    </xdr:from>
    <xdr:to>
      <xdr:col>10</xdr:col>
      <xdr:colOff>15581</xdr:colOff>
      <xdr:row>23</xdr:row>
      <xdr:rowOff>76606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B40F71F-9428-4772-91D2-819236B94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1700" y="121920"/>
          <a:ext cx="3939881" cy="4686706"/>
        </a:xfrm>
        <a:prstGeom prst="rect">
          <a:avLst/>
        </a:prstGeom>
      </xdr:spPr>
    </xdr:pic>
    <xdr:clientData/>
  </xdr:twoCellAnchor>
  <xdr:twoCellAnchor>
    <xdr:from>
      <xdr:col>6</xdr:col>
      <xdr:colOff>525780</xdr:colOff>
      <xdr:row>12</xdr:row>
      <xdr:rowOff>114300</xdr:rowOff>
    </xdr:from>
    <xdr:to>
      <xdr:col>7</xdr:col>
      <xdr:colOff>548640</xdr:colOff>
      <xdr:row>14</xdr:row>
      <xdr:rowOff>68580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208C136F-2E94-459F-9E67-F7B0BA86341F}"/>
            </a:ext>
          </a:extLst>
        </xdr:cNvPr>
        <xdr:cNvCxnSpPr/>
      </xdr:nvCxnSpPr>
      <xdr:spPr>
        <a:xfrm flipH="1" flipV="1">
          <a:off x="4183380" y="2583180"/>
          <a:ext cx="632460" cy="365760"/>
        </a:xfrm>
        <a:prstGeom prst="straightConnector1">
          <a:avLst/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518160</xdr:colOff>
      <xdr:row>1</xdr:row>
      <xdr:rowOff>22860</xdr:rowOff>
    </xdr:from>
    <xdr:to>
      <xdr:col>10</xdr:col>
      <xdr:colOff>297531</xdr:colOff>
      <xdr:row>24</xdr:row>
      <xdr:rowOff>23270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DFFD19A-3D30-4CC1-B535-A3BF01413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960" y="228600"/>
          <a:ext cx="4046571" cy="4732430"/>
        </a:xfrm>
        <a:prstGeom prst="rect">
          <a:avLst/>
        </a:prstGeom>
      </xdr:spPr>
    </xdr:pic>
    <xdr:clientData/>
  </xdr:twoCellAnchor>
  <xdr:twoCellAnchor>
    <xdr:from>
      <xdr:col>12</xdr:col>
      <xdr:colOff>201930</xdr:colOff>
      <xdr:row>3</xdr:row>
      <xdr:rowOff>175260</xdr:rowOff>
    </xdr:from>
    <xdr:to>
      <xdr:col>19</xdr:col>
      <xdr:colOff>506730</xdr:colOff>
      <xdr:row>17</xdr:row>
      <xdr:rowOff>38100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4A0ECE64-E698-429D-8BD0-EF3146C09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259080</xdr:colOff>
      <xdr:row>4</xdr:row>
      <xdr:rowOff>106680</xdr:rowOff>
    </xdr:from>
    <xdr:to>
      <xdr:col>6</xdr:col>
      <xdr:colOff>304800</xdr:colOff>
      <xdr:row>6</xdr:row>
      <xdr:rowOff>99060</xdr:rowOff>
    </xdr:to>
    <xdr:cxnSp macro="">
      <xdr:nvCxnSpPr>
        <xdr:cNvPr id="5" name="直線單箭頭接點 4">
          <a:extLst>
            <a:ext uri="{FF2B5EF4-FFF2-40B4-BE49-F238E27FC236}">
              <a16:creationId xmlns:a16="http://schemas.microsoft.com/office/drawing/2014/main" id="{4FF97438-8B26-4980-B081-16FB8020FECD}"/>
            </a:ext>
          </a:extLst>
        </xdr:cNvPr>
        <xdr:cNvCxnSpPr/>
      </xdr:nvCxnSpPr>
      <xdr:spPr>
        <a:xfrm flipV="1">
          <a:off x="3916680" y="937260"/>
          <a:ext cx="45720" cy="403860"/>
        </a:xfrm>
        <a:prstGeom prst="straightConnector1">
          <a:avLst/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0</xdr:row>
      <xdr:rowOff>129540</xdr:rowOff>
    </xdr:from>
    <xdr:to>
      <xdr:col>10</xdr:col>
      <xdr:colOff>160371</xdr:colOff>
      <xdr:row>23</xdr:row>
      <xdr:rowOff>122330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B3882D5-4B15-4F1A-8578-BCC99318E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0" y="129540"/>
          <a:ext cx="4046571" cy="4732430"/>
        </a:xfrm>
        <a:prstGeom prst="rect">
          <a:avLst/>
        </a:prstGeom>
      </xdr:spPr>
    </xdr:pic>
    <xdr:clientData/>
  </xdr:twoCellAnchor>
  <xdr:twoCellAnchor>
    <xdr:from>
      <xdr:col>7</xdr:col>
      <xdr:colOff>586740</xdr:colOff>
      <xdr:row>9</xdr:row>
      <xdr:rowOff>144780</xdr:rowOff>
    </xdr:from>
    <xdr:to>
      <xdr:col>8</xdr:col>
      <xdr:colOff>106680</xdr:colOff>
      <xdr:row>11</xdr:row>
      <xdr:rowOff>160020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D49D77EE-B406-4628-8173-87C7753946AF}"/>
            </a:ext>
          </a:extLst>
        </xdr:cNvPr>
        <xdr:cNvCxnSpPr/>
      </xdr:nvCxnSpPr>
      <xdr:spPr>
        <a:xfrm>
          <a:off x="4853940" y="2004060"/>
          <a:ext cx="129540" cy="426720"/>
        </a:xfrm>
        <a:prstGeom prst="straightConnector1">
          <a:avLst/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560070</xdr:colOff>
      <xdr:row>2</xdr:row>
      <xdr:rowOff>15240</xdr:rowOff>
    </xdr:from>
    <xdr:to>
      <xdr:col>19</xdr:col>
      <xdr:colOff>255270</xdr:colOff>
      <xdr:row>15</xdr:row>
      <xdr:rowOff>83820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442CCA82-ADA1-4DF2-A6E8-461D77577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350520</xdr:colOff>
      <xdr:row>1</xdr:row>
      <xdr:rowOff>38100</xdr:rowOff>
    </xdr:from>
    <xdr:to>
      <xdr:col>10</xdr:col>
      <xdr:colOff>129891</xdr:colOff>
      <xdr:row>24</xdr:row>
      <xdr:rowOff>38510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8282127-A174-4110-AAF2-A02614C18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" y="243840"/>
          <a:ext cx="4046571" cy="4732430"/>
        </a:xfrm>
        <a:prstGeom prst="rect">
          <a:avLst/>
        </a:prstGeom>
      </xdr:spPr>
    </xdr:pic>
    <xdr:clientData/>
  </xdr:twoCellAnchor>
  <xdr:twoCellAnchor>
    <xdr:from>
      <xdr:col>7</xdr:col>
      <xdr:colOff>15240</xdr:colOff>
      <xdr:row>14</xdr:row>
      <xdr:rowOff>182880</xdr:rowOff>
    </xdr:from>
    <xdr:to>
      <xdr:col>7</xdr:col>
      <xdr:colOff>30480</xdr:colOff>
      <xdr:row>17</xdr:row>
      <xdr:rowOff>152400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D0CE96B0-34A5-4AEB-BE31-34581945F877}"/>
            </a:ext>
          </a:extLst>
        </xdr:cNvPr>
        <xdr:cNvCxnSpPr/>
      </xdr:nvCxnSpPr>
      <xdr:spPr>
        <a:xfrm>
          <a:off x="4282440" y="3063240"/>
          <a:ext cx="15240" cy="586740"/>
        </a:xfrm>
        <a:prstGeom prst="straightConnector1">
          <a:avLst/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278130</xdr:colOff>
      <xdr:row>2</xdr:row>
      <xdr:rowOff>30480</xdr:rowOff>
    </xdr:from>
    <xdr:to>
      <xdr:col>19</xdr:col>
      <xdr:colOff>582930</xdr:colOff>
      <xdr:row>15</xdr:row>
      <xdr:rowOff>99060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E0F3DC67-3A61-4CF7-98C7-C538C9444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2180D-12E0-46AE-AEF2-0F3738C58073}">
  <dimension ref="A1:C2"/>
  <sheetViews>
    <sheetView workbookViewId="0">
      <selection activeCell="D11" sqref="D11"/>
    </sheetView>
  </sheetViews>
  <sheetFormatPr defaultRowHeight="15.6"/>
  <sheetData>
    <row r="1" spans="1:3">
      <c r="A1" s="1" t="s">
        <v>0</v>
      </c>
      <c r="B1" s="1" t="s">
        <v>1</v>
      </c>
      <c r="C1" s="2" t="s">
        <v>2</v>
      </c>
    </row>
    <row r="2" spans="1:3">
      <c r="A2" s="2" t="s">
        <v>3</v>
      </c>
      <c r="B2" s="2" t="s">
        <v>4</v>
      </c>
      <c r="C2" s="2" t="s">
        <v>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6AC5-544B-4592-AAF8-5905C07F2E7D}">
  <dimension ref="A1:C8"/>
  <sheetViews>
    <sheetView workbookViewId="0">
      <selection activeCell="A5" sqref="A5"/>
    </sheetView>
  </sheetViews>
  <sheetFormatPr defaultRowHeight="15.6"/>
  <sheetData>
    <row r="1" spans="1:3">
      <c r="A1" s="2" t="s">
        <v>6</v>
      </c>
    </row>
    <row r="2" spans="1:3">
      <c r="A2" s="2" t="s">
        <v>26</v>
      </c>
    </row>
    <row r="8" spans="1:3">
      <c r="C8" s="8">
        <v>1.315036E-2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A1689-F876-4C31-A20D-DC78D8DCBA22}">
  <dimension ref="A1:C22"/>
  <sheetViews>
    <sheetView workbookViewId="0">
      <selection activeCell="B1" sqref="B1"/>
    </sheetView>
  </sheetViews>
  <sheetFormatPr defaultRowHeight="15.6"/>
  <sheetData>
    <row r="1" spans="1:3">
      <c r="A1" s="3" t="s">
        <v>21</v>
      </c>
      <c r="B1" s="3" t="s">
        <v>22</v>
      </c>
      <c r="C1" s="2" t="s">
        <v>7</v>
      </c>
    </row>
    <row r="2" spans="1:3">
      <c r="A2" s="2">
        <v>0</v>
      </c>
      <c r="B2" s="2">
        <v>0</v>
      </c>
      <c r="C2" s="2" t="s">
        <v>8</v>
      </c>
    </row>
    <row r="3" spans="1:3">
      <c r="A3" s="2">
        <v>7.7254489583151301E-2</v>
      </c>
      <c r="B3" s="2">
        <v>12.2093082119023</v>
      </c>
      <c r="C3" s="2" t="s">
        <v>8</v>
      </c>
    </row>
    <row r="4" spans="1:3">
      <c r="A4" s="2">
        <v>0.2188842987188</v>
      </c>
      <c r="B4" s="2">
        <v>27.325559717612499</v>
      </c>
      <c r="C4" s="2" t="s">
        <v>8</v>
      </c>
    </row>
    <row r="5" spans="1:3">
      <c r="A5" s="2">
        <v>0.38626596456814499</v>
      </c>
      <c r="B5" s="2">
        <v>44.767414651005502</v>
      </c>
      <c r="C5" s="2" t="s">
        <v>8</v>
      </c>
    </row>
    <row r="6" spans="1:3">
      <c r="A6" s="2">
        <v>0.54077278261857697</v>
      </c>
      <c r="B6" s="2">
        <v>59.302301894272397</v>
      </c>
      <c r="C6" s="2" t="s">
        <v>8</v>
      </c>
    </row>
    <row r="7" spans="1:3">
      <c r="A7" s="2">
        <v>0.69527960066900796</v>
      </c>
      <c r="B7" s="2">
        <v>73.837164741221002</v>
      </c>
      <c r="C7" s="2" t="s">
        <v>8</v>
      </c>
    </row>
    <row r="8" spans="1:3">
      <c r="A8" s="2">
        <v>0.84978641871944005</v>
      </c>
      <c r="B8" s="2">
        <v>88.372051984487996</v>
      </c>
      <c r="C8" s="2" t="s">
        <v>8</v>
      </c>
    </row>
    <row r="9" spans="1:3">
      <c r="A9" s="2">
        <v>1.0300429323676901</v>
      </c>
      <c r="B9" s="2">
        <v>103.488376679152</v>
      </c>
      <c r="C9" s="2" t="s">
        <v>8</v>
      </c>
    </row>
    <row r="10" spans="1:3">
      <c r="A10" s="2">
        <v>1.1974245982170399</v>
      </c>
      <c r="B10" s="2">
        <v>118.604652581181</v>
      </c>
      <c r="C10" s="2" t="s">
        <v>8</v>
      </c>
    </row>
    <row r="11" spans="1:3">
      <c r="A11" s="2">
        <v>1.3905581207800799</v>
      </c>
      <c r="B11" s="2">
        <v>134.302317141971</v>
      </c>
      <c r="C11" s="2" t="s">
        <v>8</v>
      </c>
    </row>
    <row r="12" spans="1:3">
      <c r="A12" s="2">
        <v>1.5836916433431201</v>
      </c>
      <c r="B12" s="2">
        <v>149.999981702761</v>
      </c>
      <c r="C12" s="2" t="s">
        <v>8</v>
      </c>
    </row>
    <row r="13" spans="1:3">
      <c r="A13" s="2">
        <v>1.78970001370507</v>
      </c>
      <c r="B13" s="2">
        <v>166.279059318631</v>
      </c>
      <c r="C13" s="2" t="s">
        <v>8</v>
      </c>
    </row>
    <row r="14" spans="1:3">
      <c r="A14" s="2">
        <v>1.9570816795544199</v>
      </c>
      <c r="B14" s="2">
        <v>179.65116924437399</v>
      </c>
      <c r="C14" s="2" t="s">
        <v>8</v>
      </c>
    </row>
    <row r="15" spans="1:3">
      <c r="A15" s="2">
        <v>2.1630900499163701</v>
      </c>
      <c r="B15" s="2">
        <v>194.76744514640299</v>
      </c>
      <c r="C15" s="2" t="s">
        <v>8</v>
      </c>
    </row>
    <row r="16" spans="1:3">
      <c r="A16" s="2">
        <v>2.3562235724794101</v>
      </c>
      <c r="B16" s="2">
        <v>209.302320191511</v>
      </c>
      <c r="C16" s="2" t="s">
        <v>8</v>
      </c>
    </row>
    <row r="17" spans="1:3">
      <c r="A17" s="2">
        <v>2.54935601448451</v>
      </c>
      <c r="B17" s="2">
        <v>223.25580657785699</v>
      </c>
      <c r="C17" s="2" t="s">
        <v>8</v>
      </c>
    </row>
    <row r="18" spans="1:3">
      <c r="A18" s="2">
        <v>2.7553654654044002</v>
      </c>
      <c r="B18" s="2">
        <v>238.37209467804399</v>
      </c>
      <c r="C18" s="2" t="s">
        <v>8</v>
      </c>
    </row>
    <row r="19" spans="1:3">
      <c r="A19" s="2">
        <v>3.0128753880778798</v>
      </c>
      <c r="B19" s="2">
        <v>256.395350468358</v>
      </c>
      <c r="C19" s="2" t="s">
        <v>8</v>
      </c>
    </row>
    <row r="20" spans="1:3">
      <c r="A20" s="2">
        <v>3.2317596867966798</v>
      </c>
      <c r="B20" s="2">
        <v>271.51162637038601</v>
      </c>
      <c r="C20" s="2" t="s">
        <v>8</v>
      </c>
    </row>
    <row r="21" spans="1:3">
      <c r="A21" s="2">
        <v>3.4506439855154798</v>
      </c>
      <c r="B21" s="2">
        <v>286.62789007425602</v>
      </c>
      <c r="C21" s="2" t="s">
        <v>8</v>
      </c>
    </row>
    <row r="22" spans="1:3">
      <c r="A22" s="2">
        <v>3.6437764275205802</v>
      </c>
      <c r="B22" s="2">
        <v>300</v>
      </c>
      <c r="C22" s="2" t="s">
        <v>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D337C-AE83-4BED-B3E0-D22A6ED4C60C}">
  <dimension ref="A1:A2"/>
  <sheetViews>
    <sheetView workbookViewId="0">
      <selection activeCell="H15" sqref="H15"/>
    </sheetView>
  </sheetViews>
  <sheetFormatPr defaultRowHeight="15.6"/>
  <sheetData>
    <row r="1" spans="1:1">
      <c r="A1" s="2" t="s">
        <v>9</v>
      </c>
    </row>
    <row r="2" spans="1:1">
      <c r="A2" s="2">
        <v>1.2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08EA1-0AE3-4C6A-8891-743C4EF5D7EA}">
  <dimension ref="A1:C21"/>
  <sheetViews>
    <sheetView workbookViewId="0"/>
  </sheetViews>
  <sheetFormatPr defaultRowHeight="15.6"/>
  <sheetData>
    <row r="1" spans="1:3">
      <c r="A1" s="1" t="s">
        <v>7</v>
      </c>
      <c r="B1" s="1" t="s">
        <v>23</v>
      </c>
      <c r="C1" s="2" t="s">
        <v>10</v>
      </c>
    </row>
    <row r="2" spans="1:3">
      <c r="A2" s="2">
        <v>0</v>
      </c>
      <c r="B2" s="2">
        <v>0</v>
      </c>
      <c r="C2" s="2" t="s">
        <v>11</v>
      </c>
    </row>
    <row r="3" spans="1:3">
      <c r="A3" s="2">
        <v>3.0125516312906901</v>
      </c>
      <c r="B3" s="5">
        <v>1.0000000000000001E-9</v>
      </c>
      <c r="C3" s="2" t="s">
        <v>11</v>
      </c>
    </row>
    <row r="4" spans="1:3">
      <c r="A4" s="2">
        <v>3.9163175420503298</v>
      </c>
      <c r="B4" s="2">
        <v>1.13853075714698</v>
      </c>
      <c r="C4" s="2" t="s">
        <v>11</v>
      </c>
    </row>
    <row r="5" spans="1:3">
      <c r="A5" s="2">
        <v>4.6443500804294597</v>
      </c>
      <c r="B5" s="2">
        <v>4.5540513672935603</v>
      </c>
      <c r="C5" s="2" t="s">
        <v>11</v>
      </c>
    </row>
    <row r="6" spans="1:3">
      <c r="A6" s="2">
        <v>5.3221760936458002</v>
      </c>
      <c r="B6" s="2">
        <v>10.8159585880527</v>
      </c>
      <c r="C6" s="2" t="s">
        <v>11</v>
      </c>
    </row>
    <row r="7" spans="1:3">
      <c r="A7" s="2">
        <v>5.9748946305564496</v>
      </c>
      <c r="B7" s="2">
        <v>20.493362531860399</v>
      </c>
      <c r="C7" s="2" t="s">
        <v>11</v>
      </c>
    </row>
    <row r="8" spans="1:3">
      <c r="A8" s="2">
        <v>6.5774045354421604</v>
      </c>
      <c r="B8" s="2">
        <v>33.586334860010801</v>
      </c>
      <c r="C8" s="2" t="s">
        <v>11</v>
      </c>
    </row>
    <row r="9" spans="1:3">
      <c r="A9" s="2">
        <v>7.1297058083029299</v>
      </c>
      <c r="B9" s="2">
        <v>48.387115267430701</v>
      </c>
      <c r="C9" s="2" t="s">
        <v>11</v>
      </c>
    </row>
    <row r="10" spans="1:3">
      <c r="A10" s="2">
        <v>7.6317984491387598</v>
      </c>
      <c r="B10" s="2">
        <v>66.034162849972901</v>
      </c>
      <c r="C10" s="2" t="s">
        <v>11</v>
      </c>
    </row>
    <row r="11" spans="1:3">
      <c r="A11" s="2">
        <v>8.08368245794966</v>
      </c>
      <c r="B11" s="2">
        <v>85.388994624686305</v>
      </c>
      <c r="C11" s="2" t="s">
        <v>11</v>
      </c>
    </row>
    <row r="12" spans="1:3">
      <c r="A12" s="2">
        <v>8.5355643598983999</v>
      </c>
      <c r="B12" s="2">
        <v>105.88235715654599</v>
      </c>
      <c r="C12" s="2" t="s">
        <v>11</v>
      </c>
    </row>
    <row r="13" spans="1:3">
      <c r="A13" s="2">
        <v>8.9121343672408209</v>
      </c>
      <c r="B13" s="2">
        <v>126.375719688407</v>
      </c>
      <c r="C13" s="2" t="s">
        <v>11</v>
      </c>
    </row>
    <row r="14" spans="1:3">
      <c r="A14" s="2">
        <v>9.3138076371646203</v>
      </c>
      <c r="B14" s="2">
        <v>150.284626717512</v>
      </c>
      <c r="C14" s="2" t="s">
        <v>11</v>
      </c>
    </row>
    <row r="15" spans="1:3">
      <c r="A15" s="2">
        <v>9.6903755376448792</v>
      </c>
      <c r="B15" s="2">
        <v>175.332088390862</v>
      </c>
      <c r="C15" s="2" t="s">
        <v>11</v>
      </c>
    </row>
    <row r="16" spans="1:3">
      <c r="A16" s="2">
        <v>10.041840175543699</v>
      </c>
      <c r="B16" s="2">
        <v>200.379514233565</v>
      </c>
      <c r="C16" s="2" t="s">
        <v>11</v>
      </c>
    </row>
    <row r="17" spans="1:3">
      <c r="A17" s="2">
        <v>10.393304813442599</v>
      </c>
      <c r="B17" s="2">
        <v>224.85769858479199</v>
      </c>
      <c r="C17" s="2" t="s">
        <v>11</v>
      </c>
    </row>
    <row r="18" spans="1:3">
      <c r="A18" s="2">
        <v>10.7447694513414</v>
      </c>
      <c r="B18" s="2">
        <v>251.04365518464201</v>
      </c>
      <c r="C18" s="2" t="s">
        <v>11</v>
      </c>
    </row>
    <row r="19" spans="1:3">
      <c r="A19" s="2">
        <v>10.970711455746899</v>
      </c>
      <c r="B19" s="2">
        <v>268.12143738861101</v>
      </c>
      <c r="C19" s="2" t="s">
        <v>11</v>
      </c>
    </row>
    <row r="20" spans="1:3">
      <c r="A20" s="2">
        <v>11.2719674616208</v>
      </c>
      <c r="B20" s="2">
        <v>289.18406529904502</v>
      </c>
      <c r="C20" s="2" t="s">
        <v>11</v>
      </c>
    </row>
    <row r="21" spans="1:3">
      <c r="A21" s="2">
        <v>11.4225933576956</v>
      </c>
      <c r="B21" s="2">
        <v>300</v>
      </c>
      <c r="C21" s="2" t="s">
        <v>11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828B7-CEC0-406C-8CC9-3B69EB6EBF6E}">
  <dimension ref="A1:A2"/>
  <sheetViews>
    <sheetView workbookViewId="0">
      <selection activeCell="I15" sqref="I15"/>
    </sheetView>
  </sheetViews>
  <sheetFormatPr defaultRowHeight="15.6"/>
  <sheetData>
    <row r="1" spans="1:1">
      <c r="A1" s="2" t="s">
        <v>12</v>
      </c>
    </row>
    <row r="2" spans="1:1">
      <c r="A2" s="2" t="s">
        <v>13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7239A-C1A8-4EC9-B1C8-2383EA92FF51}">
  <dimension ref="A1:C22"/>
  <sheetViews>
    <sheetView workbookViewId="0">
      <selection activeCell="L7" sqref="L7"/>
    </sheetView>
  </sheetViews>
  <sheetFormatPr defaultRowHeight="15.6"/>
  <sheetData>
    <row r="1" spans="1:3">
      <c r="A1" s="2" t="s">
        <v>14</v>
      </c>
      <c r="B1" s="2" t="s">
        <v>15</v>
      </c>
      <c r="C1" s="2" t="s">
        <v>16</v>
      </c>
    </row>
    <row r="2" spans="1:3">
      <c r="A2">
        <v>0</v>
      </c>
      <c r="B2">
        <v>0</v>
      </c>
      <c r="C2">
        <v>25</v>
      </c>
    </row>
    <row r="3" spans="1:3">
      <c r="A3">
        <v>0.71186471416904895</v>
      </c>
      <c r="B3" s="4">
        <v>1.0000000000000001E-9</v>
      </c>
      <c r="C3">
        <v>25</v>
      </c>
    </row>
    <row r="4" spans="1:3">
      <c r="A4">
        <v>1.4110171774343601</v>
      </c>
      <c r="B4">
        <v>0.76481757325730404</v>
      </c>
      <c r="C4">
        <v>25</v>
      </c>
    </row>
    <row r="5" spans="1:3">
      <c r="A5">
        <v>1.72881384862969</v>
      </c>
      <c r="B5">
        <v>1.9120479447749099</v>
      </c>
      <c r="C5">
        <v>25</v>
      </c>
    </row>
    <row r="6" spans="1:3">
      <c r="A6">
        <v>1.98305139895035</v>
      </c>
      <c r="B6">
        <v>4.58890945117549</v>
      </c>
      <c r="C6">
        <v>25</v>
      </c>
    </row>
    <row r="7" spans="1:3">
      <c r="A7">
        <v>2.2118644474635398</v>
      </c>
      <c r="B7">
        <v>8.6042077282238196</v>
      </c>
      <c r="C7">
        <v>25</v>
      </c>
    </row>
    <row r="8" spans="1:3">
      <c r="A8">
        <v>2.3771183751020799</v>
      </c>
      <c r="B8">
        <v>12.619501993640499</v>
      </c>
      <c r="C8">
        <v>25</v>
      </c>
    </row>
    <row r="9" spans="1:3">
      <c r="A9">
        <v>2.5296611186588698</v>
      </c>
      <c r="B9">
        <v>17.590824243076302</v>
      </c>
      <c r="C9">
        <v>25</v>
      </c>
    </row>
    <row r="10" spans="1:3">
      <c r="A10">
        <v>2.6567793604082</v>
      </c>
      <c r="B10">
        <v>22.7533448683789</v>
      </c>
      <c r="C10">
        <v>25</v>
      </c>
    </row>
    <row r="11" spans="1:3">
      <c r="A11">
        <v>2.7711864180757999</v>
      </c>
      <c r="B11">
        <v>27.342254319554399</v>
      </c>
      <c r="C11">
        <v>25</v>
      </c>
    </row>
    <row r="12" spans="1:3">
      <c r="A12">
        <v>2.9110169107288599</v>
      </c>
      <c r="B12">
        <v>32.122366158228402</v>
      </c>
      <c r="C12">
        <v>25</v>
      </c>
    </row>
    <row r="13" spans="1:3">
      <c r="A13">
        <v>3.0762708383673898</v>
      </c>
      <c r="B13">
        <v>37.284894806794398</v>
      </c>
      <c r="C13">
        <v>25</v>
      </c>
    </row>
    <row r="14" spans="1:3">
      <c r="A14">
        <v>3.2542370169096602</v>
      </c>
      <c r="B14">
        <v>43.403443416116097</v>
      </c>
      <c r="C14">
        <v>25</v>
      </c>
    </row>
    <row r="15" spans="1:3">
      <c r="A15">
        <v>3.40677976046645</v>
      </c>
      <c r="B15">
        <v>50.0956072111967</v>
      </c>
      <c r="C15">
        <v>25</v>
      </c>
    </row>
    <row r="16" spans="1:3">
      <c r="A16">
        <v>3.5593225040232501</v>
      </c>
      <c r="B16">
        <v>56.022937386493297</v>
      </c>
      <c r="C16">
        <v>25</v>
      </c>
    </row>
    <row r="17" spans="1:3">
      <c r="A17">
        <v>3.6864407457725799</v>
      </c>
      <c r="B17">
        <v>62.332688383313602</v>
      </c>
      <c r="C17">
        <v>25</v>
      </c>
    </row>
    <row r="18" spans="1:3">
      <c r="A18">
        <v>3.82627017160365</v>
      </c>
      <c r="B18">
        <v>68.260034605136894</v>
      </c>
      <c r="C18">
        <v>25</v>
      </c>
    </row>
    <row r="19" spans="1:3">
      <c r="A19">
        <v>3.9533894801749798</v>
      </c>
      <c r="B19">
        <v>74.7609879894556</v>
      </c>
      <c r="C19">
        <v>25</v>
      </c>
    </row>
    <row r="20" spans="1:3">
      <c r="A20">
        <v>4.0805077219243104</v>
      </c>
      <c r="B20">
        <v>81.835572606059799</v>
      </c>
      <c r="C20">
        <v>25</v>
      </c>
    </row>
    <row r="21" spans="1:3">
      <c r="A21">
        <v>4.2203392813993696</v>
      </c>
      <c r="B21">
        <v>89.101335540372602</v>
      </c>
      <c r="C21">
        <v>25</v>
      </c>
    </row>
    <row r="22" spans="1:3">
      <c r="A22">
        <v>4.3983043931196297</v>
      </c>
      <c r="B22">
        <v>100</v>
      </c>
      <c r="C22">
        <v>25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918C8-1038-44DF-A586-B8FF0416D4FE}">
  <dimension ref="A1:B21"/>
  <sheetViews>
    <sheetView workbookViewId="0">
      <selection activeCell="N21" sqref="N21"/>
    </sheetView>
  </sheetViews>
  <sheetFormatPr defaultRowHeight="15.6"/>
  <sheetData>
    <row r="1" spans="1:2" ht="15.9" thickBot="1">
      <c r="A1" s="6" t="s">
        <v>17</v>
      </c>
      <c r="B1" s="7" t="s">
        <v>18</v>
      </c>
    </row>
    <row r="2" spans="1:2">
      <c r="A2">
        <v>0</v>
      </c>
      <c r="B2">
        <v>10000</v>
      </c>
    </row>
    <row r="3" spans="1:2">
      <c r="A3">
        <v>51.172833033368498</v>
      </c>
      <c r="B3">
        <v>9478.6002511929892</v>
      </c>
    </row>
    <row r="4" spans="1:2">
      <c r="A4">
        <v>108.74191231389599</v>
      </c>
      <c r="B4">
        <v>9478.6002511929892</v>
      </c>
    </row>
    <row r="5" spans="1:2">
      <c r="A5">
        <v>172.707953605607</v>
      </c>
      <c r="B5">
        <v>9478.6002511929892</v>
      </c>
    </row>
    <row r="6" spans="1:2">
      <c r="A6">
        <v>245.20250216786999</v>
      </c>
      <c r="B6">
        <v>9478.6002511929892</v>
      </c>
    </row>
    <row r="7" spans="1:2">
      <c r="A7">
        <v>326.22591588269597</v>
      </c>
      <c r="B7">
        <v>9478.6002511929892</v>
      </c>
    </row>
    <row r="8" spans="1:2">
      <c r="A8">
        <v>381.66327096284903</v>
      </c>
      <c r="B8">
        <v>9478.6002511929892</v>
      </c>
    </row>
    <row r="9" spans="1:2">
      <c r="A9">
        <v>439.23235024337703</v>
      </c>
      <c r="B9">
        <v>9478.6002511929892</v>
      </c>
    </row>
    <row r="10" spans="1:2">
      <c r="A10">
        <v>492.53726535913199</v>
      </c>
      <c r="B10">
        <v>9478.6002511929892</v>
      </c>
    </row>
    <row r="11" spans="1:2">
      <c r="A11">
        <v>543.70991945149501</v>
      </c>
      <c r="B11">
        <v>9478.6002511929892</v>
      </c>
    </row>
    <row r="12" spans="1:2">
      <c r="A12">
        <v>597.01483456724998</v>
      </c>
      <c r="B12">
        <v>9478.6002511929892</v>
      </c>
    </row>
    <row r="13" spans="1:2">
      <c r="A13">
        <v>648.18766760061897</v>
      </c>
      <c r="B13">
        <v>9478.6002511929892</v>
      </c>
    </row>
    <row r="14" spans="1:2">
      <c r="A14">
        <v>701.49240377536796</v>
      </c>
      <c r="B14">
        <v>9478.6002511929892</v>
      </c>
    </row>
    <row r="15" spans="1:2">
      <c r="A15">
        <v>765.45844506707897</v>
      </c>
      <c r="B15">
        <v>9478.6002511929892</v>
      </c>
    </row>
    <row r="16" spans="1:2">
      <c r="A16">
        <v>837.95299362934202</v>
      </c>
      <c r="B16">
        <v>9478.6002511929892</v>
      </c>
    </row>
    <row r="17" spans="1:2">
      <c r="A17">
        <v>893.39016976848905</v>
      </c>
      <c r="B17">
        <v>9478.6002511929892</v>
      </c>
    </row>
    <row r="18" spans="1:2">
      <c r="A18">
        <v>927.50527249673098</v>
      </c>
      <c r="B18">
        <v>9478.6002511929892</v>
      </c>
    </row>
    <row r="19" spans="1:2">
      <c r="A19">
        <v>957.35603211919499</v>
      </c>
      <c r="B19">
        <v>9478.6002511929892</v>
      </c>
    </row>
    <row r="20" spans="1:2">
      <c r="A20">
        <v>980.81018761248697</v>
      </c>
      <c r="B20">
        <v>9478.6002511929892</v>
      </c>
    </row>
    <row r="21" spans="1:2">
      <c r="A21">
        <v>1000</v>
      </c>
      <c r="B21">
        <v>9478.6002511929892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AC4F1-40BB-4055-B51E-5732958B7327}">
  <dimension ref="A1:B23"/>
  <sheetViews>
    <sheetView workbookViewId="0">
      <selection activeCell="K25" sqref="K25"/>
    </sheetView>
  </sheetViews>
  <sheetFormatPr defaultRowHeight="15.6"/>
  <sheetData>
    <row r="1" spans="1:2" ht="15.9" thickBot="1">
      <c r="A1" s="6" t="s">
        <v>17</v>
      </c>
      <c r="B1" s="7" t="s">
        <v>19</v>
      </c>
    </row>
    <row r="2" spans="1:2">
      <c r="A2">
        <v>0</v>
      </c>
      <c r="B2">
        <v>10000</v>
      </c>
    </row>
    <row r="3" spans="1:2">
      <c r="A3" s="4">
        <v>1.0000000000000001E-9</v>
      </c>
      <c r="B3">
        <v>7252.1223893292399</v>
      </c>
    </row>
    <row r="4" spans="1:2">
      <c r="A4">
        <v>2.13226102339214</v>
      </c>
      <c r="B4">
        <v>4985.1052894228096</v>
      </c>
    </row>
    <row r="5" spans="1:2">
      <c r="A5">
        <v>6.3966041291710196</v>
      </c>
      <c r="B5">
        <v>3472.9431723163698</v>
      </c>
    </row>
    <row r="6" spans="1:2">
      <c r="A6">
        <v>10.6609472349499</v>
      </c>
      <c r="B6">
        <v>2586.9658630325298</v>
      </c>
    </row>
    <row r="7" spans="1:2">
      <c r="A7">
        <v>14.9252903407286</v>
      </c>
      <c r="B7">
        <v>1927.0088925849</v>
      </c>
    </row>
    <row r="8" spans="1:2">
      <c r="A8">
        <v>29.850938563468699</v>
      </c>
      <c r="B8">
        <v>1360.5701778550001</v>
      </c>
    </row>
    <row r="9" spans="1:2">
      <c r="A9">
        <v>61.833780268318399</v>
      </c>
      <c r="B9">
        <v>973.58094046349197</v>
      </c>
    </row>
    <row r="10" spans="1:2">
      <c r="A10">
        <v>100.21322610233899</v>
      </c>
      <c r="B10">
        <v>775.41644515889004</v>
      </c>
    </row>
    <row r="11" spans="1:2">
      <c r="A11">
        <v>138.59267193635901</v>
      </c>
      <c r="B11">
        <v>642.89435536703002</v>
      </c>
    </row>
    <row r="12" spans="1:2">
      <c r="A12">
        <v>181.23663981716501</v>
      </c>
      <c r="B12">
        <v>554.86345667139994</v>
      </c>
    </row>
    <row r="13" spans="1:2">
      <c r="A13">
        <v>228.144950803749</v>
      </c>
      <c r="B13">
        <v>491.88140816637002</v>
      </c>
    </row>
    <row r="14" spans="1:2">
      <c r="A14">
        <v>283.58212694289602</v>
      </c>
      <c r="B14">
        <v>436.048639901694</v>
      </c>
    </row>
    <row r="15" spans="1:2">
      <c r="A15">
        <v>334.75478103525899</v>
      </c>
      <c r="B15">
        <v>397.04272132924399</v>
      </c>
    </row>
    <row r="16" spans="1:2">
      <c r="A16">
        <v>394.45630028018502</v>
      </c>
      <c r="B16">
        <v>366.398281932744</v>
      </c>
    </row>
    <row r="17" spans="1:2">
      <c r="A17">
        <v>447.76121539594101</v>
      </c>
      <c r="B17">
        <v>338.119222956557</v>
      </c>
    </row>
    <row r="18" spans="1:2">
      <c r="A18">
        <v>518.12368187581603</v>
      </c>
      <c r="B18">
        <v>312.02260040169602</v>
      </c>
    </row>
    <row r="19" spans="1:2">
      <c r="A19">
        <v>592.75049146147205</v>
      </c>
      <c r="B19">
        <v>287.94016001256898</v>
      </c>
    </row>
    <row r="20" spans="1:2">
      <c r="A20">
        <v>686.56711343463996</v>
      </c>
      <c r="B20">
        <v>284.111200089161</v>
      </c>
    </row>
    <row r="21" spans="1:2">
      <c r="A21">
        <v>776.11939230202904</v>
      </c>
      <c r="B21">
        <v>284.111200089161</v>
      </c>
    </row>
    <row r="22" spans="1:2">
      <c r="A22">
        <v>867.80375325180501</v>
      </c>
      <c r="B22">
        <v>284.111200089161</v>
      </c>
    </row>
    <row r="23" spans="1:2">
      <c r="A23">
        <v>1000</v>
      </c>
      <c r="B23">
        <v>287.94016001256898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5181-D73B-420D-8CD8-3C91843A659B}">
  <dimension ref="A1:B23"/>
  <sheetViews>
    <sheetView workbookViewId="0">
      <selection activeCell="L24" sqref="L24"/>
    </sheetView>
  </sheetViews>
  <sheetFormatPr defaultRowHeight="15.6"/>
  <sheetData>
    <row r="1" spans="1:2" ht="15.9" thickBot="1">
      <c r="A1" s="6" t="s">
        <v>17</v>
      </c>
      <c r="B1" s="7" t="s">
        <v>20</v>
      </c>
    </row>
    <row r="2" spans="1:2">
      <c r="A2">
        <v>0</v>
      </c>
      <c r="B2">
        <v>10000</v>
      </c>
    </row>
    <row r="3" spans="1:2">
      <c r="A3" s="4">
        <v>1.0000000000000001E-9</v>
      </c>
      <c r="B3">
        <v>6175.8643474350101</v>
      </c>
    </row>
    <row r="4" spans="1:2">
      <c r="A4" s="4">
        <v>2.0000000000000001E-9</v>
      </c>
      <c r="B4">
        <v>3567.18350510767</v>
      </c>
    </row>
    <row r="5" spans="1:2">
      <c r="A5" s="4">
        <v>3E-9</v>
      </c>
      <c r="B5">
        <v>2657.1654325915601</v>
      </c>
    </row>
    <row r="6" spans="1:2">
      <c r="A6" s="4">
        <v>4.0000000000000002E-9</v>
      </c>
      <c r="B6">
        <v>1778.2795349066</v>
      </c>
    </row>
    <row r="7" spans="1:2">
      <c r="A7" s="4">
        <v>5.0000000000000001E-9</v>
      </c>
      <c r="B7">
        <v>1272.4805307219101</v>
      </c>
    </row>
    <row r="8" spans="1:2">
      <c r="A8">
        <v>2.13226102339214</v>
      </c>
      <c r="B8">
        <v>818.07016755908296</v>
      </c>
    </row>
    <row r="9" spans="1:2">
      <c r="A9">
        <v>4.2643431057788801</v>
      </c>
      <c r="B9">
        <v>498.51076230592901</v>
      </c>
    </row>
    <row r="10" spans="1:2">
      <c r="A10">
        <v>6.3966041291710196</v>
      </c>
      <c r="B10">
        <v>295.75374985454101</v>
      </c>
    </row>
    <row r="11" spans="1:2">
      <c r="A11">
        <v>10.6609472349499</v>
      </c>
      <c r="B11">
        <v>182.65345263225399</v>
      </c>
    </row>
    <row r="12" spans="1:2">
      <c r="A12">
        <v>12.793208258342</v>
      </c>
      <c r="B12">
        <v>114.32452330424999</v>
      </c>
    </row>
    <row r="13" spans="1:2">
      <c r="A13">
        <v>12.793208258342</v>
      </c>
      <c r="B13">
        <v>67.825792401080193</v>
      </c>
    </row>
    <row r="14" spans="1:2">
      <c r="A14">
        <v>25.5864165166841</v>
      </c>
      <c r="B14">
        <v>41.331303607429497</v>
      </c>
    </row>
    <row r="15" spans="1:2">
      <c r="A15">
        <v>66.098123374097298</v>
      </c>
      <c r="B15">
        <v>33.811919130036998</v>
      </c>
    </row>
    <row r="16" spans="1:2">
      <c r="A16">
        <v>138.59267193635901</v>
      </c>
      <c r="B16">
        <v>31.202257118878801</v>
      </c>
    </row>
    <row r="17" spans="1:2">
      <c r="A17">
        <v>228.144950803749</v>
      </c>
      <c r="B17">
        <v>28.794013305436401</v>
      </c>
    </row>
    <row r="18" spans="1:2">
      <c r="A18">
        <v>328.358355847094</v>
      </c>
      <c r="B18">
        <v>26.571626960640501</v>
      </c>
    </row>
    <row r="19" spans="1:2">
      <c r="A19">
        <v>460.55442365428303</v>
      </c>
      <c r="B19">
        <v>24.194738765621398</v>
      </c>
    </row>
    <row r="20" spans="1:2">
      <c r="A20">
        <v>605.54369971981396</v>
      </c>
      <c r="B20">
        <v>22.628252389276501</v>
      </c>
    </row>
    <row r="21" spans="1:2">
      <c r="A21">
        <v>752.66523680873695</v>
      </c>
      <c r="B21">
        <v>22.628252389276501</v>
      </c>
    </row>
    <row r="22" spans="1:2">
      <c r="A22">
        <v>880.59696151014703</v>
      </c>
      <c r="B22">
        <v>22.628252389276501</v>
      </c>
    </row>
    <row r="23" spans="1:2">
      <c r="A23">
        <v>1000</v>
      </c>
      <c r="B23">
        <v>22.628252389276501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611FF-5330-4CB7-B7D3-7CBBDDAAB5E5}">
  <dimension ref="A1:A2"/>
  <sheetViews>
    <sheetView workbookViewId="0">
      <selection activeCell="C4" sqref="C4"/>
    </sheetView>
  </sheetViews>
  <sheetFormatPr defaultRowHeight="15.6"/>
  <sheetData>
    <row r="1" spans="1:1">
      <c r="A1" t="s">
        <v>25</v>
      </c>
    </row>
    <row r="2" spans="1:1">
      <c r="A2">
        <v>350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ABA1-09E3-4C3E-9BC6-2EABBD71A656}">
  <dimension ref="A1:A2"/>
  <sheetViews>
    <sheetView workbookViewId="0">
      <selection activeCell="A3" sqref="A3"/>
    </sheetView>
  </sheetViews>
  <sheetFormatPr defaultRowHeight="15.6"/>
  <sheetData>
    <row r="1" spans="1:1">
      <c r="A1" t="s">
        <v>24</v>
      </c>
    </row>
    <row r="2" spans="1:1">
      <c r="A2">
        <v>170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87D08-F0EB-4A94-8418-4D4B5CA58A63}">
  <dimension ref="A1:A2"/>
  <sheetViews>
    <sheetView tabSelected="1" workbookViewId="0"/>
  </sheetViews>
  <sheetFormatPr defaultRowHeight="15.6"/>
  <sheetData>
    <row r="1" spans="1:1">
      <c r="A1" t="s">
        <v>27</v>
      </c>
    </row>
    <row r="2" spans="1:1">
      <c r="A2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Capacitance</vt:lpstr>
      <vt:lpstr>Rds(on)</vt:lpstr>
      <vt:lpstr>Output</vt:lpstr>
      <vt:lpstr>Rg</vt:lpstr>
      <vt:lpstr>Transfer</vt:lpstr>
      <vt:lpstr>VTH</vt:lpstr>
      <vt:lpstr>body diode</vt:lpstr>
      <vt:lpstr>Ciss</vt:lpstr>
      <vt:lpstr>Coss</vt:lpstr>
      <vt:lpstr>Crss</vt:lpstr>
      <vt:lpstr>Eon</vt:lpstr>
      <vt:lpstr>Eoff</vt:lpstr>
      <vt:lpstr>ID_25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兆威 蔡</dc:creator>
  <cp:lastModifiedBy>Tung Nguyen</cp:lastModifiedBy>
  <dcterms:created xsi:type="dcterms:W3CDTF">2025-10-27T01:19:19Z</dcterms:created>
  <dcterms:modified xsi:type="dcterms:W3CDTF">2026-02-10T02:54:04Z</dcterms:modified>
</cp:coreProperties>
</file>