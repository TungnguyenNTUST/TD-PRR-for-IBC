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Mosfet\IMZC120R078M2HXKSA1\"/>
    </mc:Choice>
  </mc:AlternateContent>
  <xr:revisionPtr revIDLastSave="0" documentId="13_ncr:1_{F42454FA-91D4-4E8E-B0CA-EF8E6F0B2C39}" xr6:coauthVersionLast="47" xr6:coauthVersionMax="47" xr10:uidLastSave="{00000000-0000-0000-0000-000000000000}"/>
  <bookViews>
    <workbookView xWindow="-96" yWindow="-96" windowWidth="23232" windowHeight="13872" firstSheet="1" activeTab="12" xr2:uid="{2B03FAA1-A472-44FF-B0C5-6CB4EA85B8CD}"/>
  </bookViews>
  <sheets>
    <sheet name="Capacitance" sheetId="1" r:id="rId1"/>
    <sheet name="Rds(on)" sheetId="2" r:id="rId2"/>
    <sheet name="Output" sheetId="3" r:id="rId3"/>
    <sheet name="Transfer" sheetId="4" r:id="rId4"/>
    <sheet name="VTH" sheetId="5" r:id="rId5"/>
    <sheet name="body diode" sheetId="6" r:id="rId6"/>
    <sheet name="Rg" sheetId="7" r:id="rId7"/>
    <sheet name="Ciss" sheetId="8" r:id="rId8"/>
    <sheet name="Coss" sheetId="9" r:id="rId9"/>
    <sheet name="Crss" sheetId="10" r:id="rId10"/>
    <sheet name="Eon" sheetId="11" r:id="rId11"/>
    <sheet name="Eoff" sheetId="12" r:id="rId12"/>
    <sheet name="ID_25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" l="1"/>
</calcChain>
</file>

<file path=xl/sharedStrings.xml><?xml version="1.0" encoding="utf-8"?>
<sst xmlns="http://schemas.openxmlformats.org/spreadsheetml/2006/main" count="47" uniqueCount="26">
  <si>
    <t>Ciss</t>
    <phoneticPr fontId="1" type="noConversion"/>
  </si>
  <si>
    <t>Coss</t>
    <phoneticPr fontId="1" type="noConversion"/>
  </si>
  <si>
    <t>Crss</t>
    <phoneticPr fontId="1" type="noConversion"/>
  </si>
  <si>
    <t>700pF</t>
    <phoneticPr fontId="1" type="noConversion"/>
  </si>
  <si>
    <t>28pF</t>
    <phoneticPr fontId="1" type="noConversion"/>
  </si>
  <si>
    <t>2pF</t>
    <phoneticPr fontId="1" type="noConversion"/>
  </si>
  <si>
    <t>Rds(on)</t>
    <phoneticPr fontId="1" type="noConversion"/>
  </si>
  <si>
    <t>78m</t>
    <phoneticPr fontId="1" type="noConversion"/>
  </si>
  <si>
    <t>Vgs</t>
    <phoneticPr fontId="1" type="noConversion"/>
  </si>
  <si>
    <t>20V</t>
    <phoneticPr fontId="1" type="noConversion"/>
  </si>
  <si>
    <t>Vds</t>
    <phoneticPr fontId="1" type="noConversion"/>
  </si>
  <si>
    <t>VTH</t>
    <phoneticPr fontId="1" type="noConversion"/>
  </si>
  <si>
    <t>Vsd</t>
    <phoneticPr fontId="1" type="noConversion"/>
  </si>
  <si>
    <t>Isd</t>
    <phoneticPr fontId="1" type="noConversion"/>
  </si>
  <si>
    <t>Tj</t>
    <phoneticPr fontId="1" type="noConversion"/>
  </si>
  <si>
    <t>Rg</t>
    <phoneticPr fontId="1" type="noConversion"/>
  </si>
  <si>
    <t>Vds_V</t>
  </si>
  <si>
    <t>Ciss_pF</t>
  </si>
  <si>
    <t>Coss_pF</t>
    <phoneticPr fontId="1" type="noConversion"/>
  </si>
  <si>
    <t>Crss_pF</t>
    <phoneticPr fontId="1" type="noConversion"/>
  </si>
  <si>
    <t xml:space="preserve">Ids </t>
    <phoneticPr fontId="1" type="noConversion"/>
  </si>
  <si>
    <t xml:space="preserve">Vds </t>
    <phoneticPr fontId="1" type="noConversion"/>
  </si>
  <si>
    <t xml:space="preserve">Vgs </t>
    <phoneticPr fontId="1" type="noConversion"/>
  </si>
  <si>
    <t>Eon</t>
  </si>
  <si>
    <t>Eoff</t>
  </si>
  <si>
    <t>ID_25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</si>
</sst>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3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Normal" xfId="0" builtinId="0"/>
    <cellStyle name="一般 2" xfId="1" xr:uid="{BF9FBB77-1041-47DD-9AD8-3394F9570C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Output!$A$2:$A$20</c:f>
              <c:numCache>
                <c:formatCode>General</c:formatCode>
                <c:ptCount val="19"/>
                <c:pt idx="0">
                  <c:v>0</c:v>
                </c:pt>
                <c:pt idx="1">
                  <c:v>0.341149092367239</c:v>
                </c:pt>
                <c:pt idx="2">
                  <c:v>0.68230021815558395</c:v>
                </c:pt>
                <c:pt idx="3">
                  <c:v>1.0234513439439199</c:v>
                </c:pt>
                <c:pt idx="4">
                  <c:v>1.4072473771663601</c:v>
                </c:pt>
                <c:pt idx="5">
                  <c:v>1.8336883178229</c:v>
                </c:pt>
                <c:pt idx="6">
                  <c:v>2.1748394436112499</c:v>
                </c:pt>
                <c:pt idx="7">
                  <c:v>2.6012763174255702</c:v>
                </c:pt>
                <c:pt idx="8">
                  <c:v>2.8997866026220298</c:v>
                </c:pt>
                <c:pt idx="9">
                  <c:v>3.24093772841037</c:v>
                </c:pt>
                <c:pt idx="10">
                  <c:v>3.6247337616328199</c:v>
                </c:pt>
                <c:pt idx="11">
                  <c:v>3.9658848874211601</c:v>
                </c:pt>
                <c:pt idx="12">
                  <c:v>4.3070360132095002</c:v>
                </c:pt>
                <c:pt idx="13">
                  <c:v>4.6908320464319502</c:v>
                </c:pt>
                <c:pt idx="14">
                  <c:v>5.07462401281217</c:v>
                </c:pt>
                <c:pt idx="15">
                  <c:v>5.5010649534687097</c:v>
                </c:pt>
                <c:pt idx="16">
                  <c:v>5.9275058941252503</c:v>
                </c:pt>
                <c:pt idx="17">
                  <c:v>6.3965917422158798</c:v>
                </c:pt>
                <c:pt idx="18">
                  <c:v>6.8656694566220899</c:v>
                </c:pt>
              </c:numCache>
            </c:numRef>
          </c:xVal>
          <c:yVal>
            <c:numRef>
              <c:f>Output!$B$2:$B$20</c:f>
              <c:numCache>
                <c:formatCode>General</c:formatCode>
                <c:ptCount val="19"/>
                <c:pt idx="0">
                  <c:v>0</c:v>
                </c:pt>
                <c:pt idx="1">
                  <c:v>5.2052307967405804</c:v>
                </c:pt>
                <c:pt idx="2">
                  <c:v>9.9067107266562093</c:v>
                </c:pt>
                <c:pt idx="3">
                  <c:v>14.272394109459899</c:v>
                </c:pt>
                <c:pt idx="4">
                  <c:v>19.813437466500101</c:v>
                </c:pt>
                <c:pt idx="5">
                  <c:v>25.690301390433898</c:v>
                </c:pt>
                <c:pt idx="6">
                  <c:v>30.223883046793599</c:v>
                </c:pt>
                <c:pt idx="7">
                  <c:v>35.932824677389803</c:v>
                </c:pt>
                <c:pt idx="8">
                  <c:v>39.962687493300002</c:v>
                </c:pt>
                <c:pt idx="9">
                  <c:v>44.496269149659597</c:v>
                </c:pt>
                <c:pt idx="10">
                  <c:v>49.5335776530627</c:v>
                </c:pt>
                <c:pt idx="11">
                  <c:v>54.402987882909699</c:v>
                </c:pt>
                <c:pt idx="12">
                  <c:v>58.768655252525697</c:v>
                </c:pt>
                <c:pt idx="13">
                  <c:v>63.805963755928701</c:v>
                </c:pt>
                <c:pt idx="14">
                  <c:v>68.8432802659256</c:v>
                </c:pt>
                <c:pt idx="15">
                  <c:v>73.880592772625604</c:v>
                </c:pt>
                <c:pt idx="16">
                  <c:v>79.253729849516006</c:v>
                </c:pt>
                <c:pt idx="17">
                  <c:v>84.794769203259307</c:v>
                </c:pt>
                <c:pt idx="18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C6-4859-826B-B80D29BE1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3847391"/>
        <c:axId val="1203844895"/>
      </c:scatterChart>
      <c:valAx>
        <c:axId val="1203847391"/>
        <c:scaling>
          <c:orientation val="minMax"/>
          <c:max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03844895"/>
        <c:crosses val="autoZero"/>
        <c:crossBetween val="midCat"/>
        <c:majorUnit val="2"/>
      </c:valAx>
      <c:valAx>
        <c:axId val="1203844895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0384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Transfer!$A$2:$A$25</c:f>
              <c:numCache>
                <c:formatCode>General</c:formatCode>
                <c:ptCount val="24"/>
                <c:pt idx="0">
                  <c:v>0</c:v>
                </c:pt>
                <c:pt idx="1">
                  <c:v>3.1011236532967499</c:v>
                </c:pt>
                <c:pt idx="2">
                  <c:v>6.56179964546891</c:v>
                </c:pt>
                <c:pt idx="3">
                  <c:v>7.9550555826001297</c:v>
                </c:pt>
                <c:pt idx="4">
                  <c:v>8.9438207641030996</c:v>
                </c:pt>
                <c:pt idx="5">
                  <c:v>9.7078660016949598</c:v>
                </c:pt>
                <c:pt idx="6">
                  <c:v>10.382021547251799</c:v>
                </c:pt>
                <c:pt idx="7">
                  <c:v>11.1011219388261</c:v>
                </c:pt>
                <c:pt idx="8">
                  <c:v>11.820222330400499</c:v>
                </c:pt>
                <c:pt idx="9">
                  <c:v>12.4044924700988</c:v>
                </c:pt>
                <c:pt idx="10">
                  <c:v>12.988762609797099</c:v>
                </c:pt>
                <c:pt idx="11">
                  <c:v>13.573032749495299</c:v>
                </c:pt>
                <c:pt idx="12">
                  <c:v>14.1123580431761</c:v>
                </c:pt>
                <c:pt idx="13">
                  <c:v>14.6067427770158</c:v>
                </c:pt>
                <c:pt idx="14">
                  <c:v>15.1011232246791</c:v>
                </c:pt>
                <c:pt idx="15">
                  <c:v>15.5955036723423</c:v>
                </c:pt>
                <c:pt idx="16">
                  <c:v>15.999998714147001</c:v>
                </c:pt>
                <c:pt idx="17">
                  <c:v>16.449438601969199</c:v>
                </c:pt>
                <c:pt idx="18">
                  <c:v>16.898874203615001</c:v>
                </c:pt>
                <c:pt idx="19">
                  <c:v>17.3932589374547</c:v>
                </c:pt>
                <c:pt idx="20">
                  <c:v>18.0674144830115</c:v>
                </c:pt>
                <c:pt idx="21">
                  <c:v>18.651684622709801</c:v>
                </c:pt>
                <c:pt idx="22">
                  <c:v>19.280899608425599</c:v>
                </c:pt>
                <c:pt idx="23">
                  <c:v>20</c:v>
                </c:pt>
              </c:numCache>
            </c:numRef>
          </c:xVal>
          <c:yVal>
            <c:numRef>
              <c:f>Transfer!$B$2:$B$25</c:f>
              <c:numCache>
                <c:formatCode>0.00E+00</c:formatCode>
                <c:ptCount val="24"/>
                <c:pt idx="0" formatCode="General">
                  <c:v>0</c:v>
                </c:pt>
                <c:pt idx="1">
                  <c:v>1.0000000000000001E-9</c:v>
                </c:pt>
                <c:pt idx="2">
                  <c:v>2.0000000000000001E-9</c:v>
                </c:pt>
                <c:pt idx="3" formatCode="General">
                  <c:v>3.4681958777378399</c:v>
                </c:pt>
                <c:pt idx="4" formatCode="General">
                  <c:v>7.7071223674498004</c:v>
                </c:pt>
                <c:pt idx="5" formatCode="General">
                  <c:v>12.3313957879197</c:v>
                </c:pt>
                <c:pt idx="6" formatCode="General">
                  <c:v>18.111746751121601</c:v>
                </c:pt>
                <c:pt idx="7" formatCode="General">
                  <c:v>25.0481752570556</c:v>
                </c:pt>
                <c:pt idx="8" formatCode="General">
                  <c:v>33.526009861250401</c:v>
                </c:pt>
                <c:pt idx="9" formatCode="General">
                  <c:v>41.233132228700299</c:v>
                </c:pt>
                <c:pt idx="10" formatCode="General">
                  <c:v>49.7109852081242</c:v>
                </c:pt>
                <c:pt idx="11" formatCode="General">
                  <c:v>59.730244285809</c:v>
                </c:pt>
                <c:pt idx="12" formatCode="General">
                  <c:v>69.364156432735896</c:v>
                </c:pt>
                <c:pt idx="13" formatCode="General">
                  <c:v>78.9980685796627</c:v>
                </c:pt>
                <c:pt idx="14" formatCode="General">
                  <c:v>89.017327657347494</c:v>
                </c:pt>
                <c:pt idx="15" formatCode="General">
                  <c:v>98.651239804274397</c:v>
                </c:pt>
                <c:pt idx="16" formatCode="General">
                  <c:v>107.899805020443</c:v>
                </c:pt>
                <c:pt idx="17" formatCode="General">
                  <c:v>117.53371716737</c:v>
                </c:pt>
                <c:pt idx="18" formatCode="General">
                  <c:v>127.938341551042</c:v>
                </c:pt>
                <c:pt idx="19" formatCode="General">
                  <c:v>139.11367817145799</c:v>
                </c:pt>
                <c:pt idx="20" formatCode="General">
                  <c:v>154.527941281587</c:v>
                </c:pt>
                <c:pt idx="21" formatCode="General">
                  <c:v>168.400761542997</c:v>
                </c:pt>
                <c:pt idx="22" formatCode="General">
                  <c:v>182.65896548562301</c:v>
                </c:pt>
                <c:pt idx="23" formatCode="General">
                  <c:v>198.45858471412399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3F-4D77-BB2E-14207D6B9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748863"/>
        <c:axId val="368748447"/>
      </c:scatterChart>
      <c:valAx>
        <c:axId val="36874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8748447"/>
        <c:crosses val="autoZero"/>
        <c:crossBetween val="midCat"/>
      </c:valAx>
      <c:valAx>
        <c:axId val="36874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874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'body diode'!$A$2:$A$27</c:f>
              <c:numCache>
                <c:formatCode>General</c:formatCode>
                <c:ptCount val="26"/>
                <c:pt idx="0">
                  <c:v>0</c:v>
                </c:pt>
                <c:pt idx="1">
                  <c:v>0.66521708167567595</c:v>
                </c:pt>
                <c:pt idx="2">
                  <c:v>1.61739166129965</c:v>
                </c:pt>
                <c:pt idx="3">
                  <c:v>2.49130482240977</c:v>
                </c:pt>
                <c:pt idx="4">
                  <c:v>2.8695656500601801</c:v>
                </c:pt>
                <c:pt idx="5">
                  <c:v>3.1434787489741498</c:v>
                </c:pt>
                <c:pt idx="6">
                  <c:v>3.4173918478881098</c:v>
                </c:pt>
                <c:pt idx="7">
                  <c:v>3.6130435282882001</c:v>
                </c:pt>
                <c:pt idx="8">
                  <c:v>3.79565267553853</c:v>
                </c:pt>
                <c:pt idx="9">
                  <c:v>3.9782605788657999</c:v>
                </c:pt>
                <c:pt idx="10">
                  <c:v>4.1608697261161298</c:v>
                </c:pt>
                <c:pt idx="11">
                  <c:v>4.3304350962936304</c:v>
                </c:pt>
                <c:pt idx="12">
                  <c:v>4.4869566893983199</c:v>
                </c:pt>
                <c:pt idx="13">
                  <c:v>4.6043481952076002</c:v>
                </c:pt>
                <c:pt idx="14">
                  <c:v>4.7347822341666399</c:v>
                </c:pt>
                <c:pt idx="15">
                  <c:v>4.8652175170487402</c:v>
                </c:pt>
                <c:pt idx="16">
                  <c:v>4.9956515560077897</c:v>
                </c:pt>
                <c:pt idx="17">
                  <c:v>5.1130430618170601</c:v>
                </c:pt>
                <c:pt idx="18">
                  <c:v>5.2565221217719804</c:v>
                </c:pt>
                <c:pt idx="19">
                  <c:v>5.34782607343561</c:v>
                </c:pt>
                <c:pt idx="20">
                  <c:v>5.4652175792448903</c:v>
                </c:pt>
                <c:pt idx="21">
                  <c:v>5.5826090850541696</c:v>
                </c:pt>
                <c:pt idx="22">
                  <c:v>5.6869568137906201</c:v>
                </c:pt>
                <c:pt idx="23">
                  <c:v>5.7913045425270804</c:v>
                </c:pt>
                <c:pt idx="24">
                  <c:v>5.8826084941907197</c:v>
                </c:pt>
                <c:pt idx="25">
                  <c:v>6</c:v>
                </c:pt>
              </c:numCache>
            </c:numRef>
          </c:xVal>
          <c:yVal>
            <c:numRef>
              <c:f>'body diode'!$B$2:$B$27</c:f>
              <c:numCache>
                <c:formatCode>0.00E+00</c:formatCode>
                <c:ptCount val="26"/>
                <c:pt idx="0" formatCode="General">
                  <c:v>0</c:v>
                </c:pt>
                <c:pt idx="1">
                  <c:v>1.0000000000000001E-9</c:v>
                </c:pt>
                <c:pt idx="2">
                  <c:v>2.0000000000000001E-9</c:v>
                </c:pt>
                <c:pt idx="3" formatCode="General">
                  <c:v>0.472970926648351</c:v>
                </c:pt>
                <c:pt idx="4" formatCode="General">
                  <c:v>1.41891922369066</c:v>
                </c:pt>
                <c:pt idx="5" formatCode="General">
                  <c:v>2.4324301932930301</c:v>
                </c:pt>
                <c:pt idx="6" formatCode="General">
                  <c:v>3.7162144062452001</c:v>
                </c:pt>
                <c:pt idx="7" formatCode="General">
                  <c:v>4.79729771402602</c:v>
                </c:pt>
                <c:pt idx="8" formatCode="General">
                  <c:v>5.9459404724940796</c:v>
                </c:pt>
                <c:pt idx="9" formatCode="General">
                  <c:v>7.1621620128861903</c:v>
                </c:pt>
                <c:pt idx="10" formatCode="General">
                  <c:v>8.5810812365768605</c:v>
                </c:pt>
                <c:pt idx="11" formatCode="General">
                  <c:v>9.9324313439618805</c:v>
                </c:pt>
                <c:pt idx="12" formatCode="General">
                  <c:v>11.283784673219699</c:v>
                </c:pt>
                <c:pt idx="13" formatCode="General">
                  <c:v>12.4999997698662</c:v>
                </c:pt>
                <c:pt idx="14" formatCode="General">
                  <c:v>13.783783982818299</c:v>
                </c:pt>
                <c:pt idx="15" formatCode="General">
                  <c:v>15.135134090203399</c:v>
                </c:pt>
                <c:pt idx="16" formatCode="General">
                  <c:v>16.554053313893998</c:v>
                </c:pt>
                <c:pt idx="17" formatCode="General">
                  <c:v>17.7702651886678</c:v>
                </c:pt>
                <c:pt idx="18" formatCode="General">
                  <c:v>19.391891761275399</c:v>
                </c:pt>
                <c:pt idx="19" formatCode="General">
                  <c:v>20.675675974227499</c:v>
                </c:pt>
                <c:pt idx="20" formatCode="General">
                  <c:v>22.094595197918199</c:v>
                </c:pt>
                <c:pt idx="21" formatCode="General">
                  <c:v>23.648649432347401</c:v>
                </c:pt>
                <c:pt idx="22" formatCode="General">
                  <c:v>24.932430423426801</c:v>
                </c:pt>
                <c:pt idx="23" formatCode="General">
                  <c:v>26.4189187634231</c:v>
                </c:pt>
                <c:pt idx="24" formatCode="General">
                  <c:v>27.6351322491332</c:v>
                </c:pt>
                <c:pt idx="25" formatCode="General">
                  <c:v>29.054053083760301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B6-4BDC-B267-49A1B6A73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752479"/>
        <c:axId val="2085766207"/>
      </c:scatterChart>
      <c:valAx>
        <c:axId val="208575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85766207"/>
        <c:crosses val="autoZero"/>
        <c:crossBetween val="midCat"/>
      </c:valAx>
      <c:valAx>
        <c:axId val="208576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8575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Ciss!$A$2:$A$15</c:f>
              <c:numCache>
                <c:formatCode>General</c:formatCode>
                <c:ptCount val="14"/>
                <c:pt idx="0">
                  <c:v>1</c:v>
                </c:pt>
                <c:pt idx="1">
                  <c:v>1.49540263357878</c:v>
                </c:pt>
                <c:pt idx="2">
                  <c:v>2.4317697341629199</c:v>
                </c:pt>
                <c:pt idx="3">
                  <c:v>4.30026633054056</c:v>
                </c:pt>
                <c:pt idx="4">
                  <c:v>8.26942793629485</c:v>
                </c:pt>
                <c:pt idx="5">
                  <c:v>15.3777759841501</c:v>
                </c:pt>
                <c:pt idx="6">
                  <c:v>24.1821601699341</c:v>
                </c:pt>
                <c:pt idx="7">
                  <c:v>42.763051942780301</c:v>
                </c:pt>
                <c:pt idx="8">
                  <c:v>73.126950698915394</c:v>
                </c:pt>
                <c:pt idx="9">
                  <c:v>116.93936926221799</c:v>
                </c:pt>
                <c:pt idx="10">
                  <c:v>187.001342437478</c:v>
                </c:pt>
                <c:pt idx="11">
                  <c:v>336.27815354576501</c:v>
                </c:pt>
                <c:pt idx="12">
                  <c:v>565.49282003592396</c:v>
                </c:pt>
                <c:pt idx="13">
                  <c:v>1000</c:v>
                </c:pt>
              </c:numCache>
            </c:numRef>
          </c:xVal>
          <c:yVal>
            <c:numRef>
              <c:f>Ciss!$B$2:$B$15</c:f>
              <c:numCache>
                <c:formatCode>General</c:formatCode>
                <c:ptCount val="14"/>
                <c:pt idx="0">
                  <c:v>859.79259489579795</c:v>
                </c:pt>
                <c:pt idx="1">
                  <c:v>848.065685890042</c:v>
                </c:pt>
                <c:pt idx="2">
                  <c:v>825.089524367575</c:v>
                </c:pt>
                <c:pt idx="3">
                  <c:v>791.78688483944404</c:v>
                </c:pt>
                <c:pt idx="4">
                  <c:v>759.828670415376</c:v>
                </c:pt>
                <c:pt idx="5">
                  <c:v>739.24306419250104</c:v>
                </c:pt>
                <c:pt idx="6">
                  <c:v>719.21517209658998</c:v>
                </c:pt>
                <c:pt idx="7">
                  <c:v>719.21517209658998</c:v>
                </c:pt>
                <c:pt idx="8">
                  <c:v>719.21517209658998</c:v>
                </c:pt>
                <c:pt idx="9">
                  <c:v>719.21517209658998</c:v>
                </c:pt>
                <c:pt idx="10">
                  <c:v>709.40563090164903</c:v>
                </c:pt>
                <c:pt idx="11">
                  <c:v>699.72988429584996</c:v>
                </c:pt>
                <c:pt idx="12">
                  <c:v>699.72988429584996</c:v>
                </c:pt>
                <c:pt idx="13">
                  <c:v>690.18610742400995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22-4702-B77A-E4540376A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1028975"/>
        <c:axId val="1731028143"/>
      </c:scatterChart>
      <c:valAx>
        <c:axId val="173102897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1028143"/>
        <c:crosses val="autoZero"/>
        <c:crossBetween val="midCat"/>
      </c:valAx>
      <c:valAx>
        <c:axId val="173102814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31028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Coss!$A$2:$A$25</c:f>
              <c:numCache>
                <c:formatCode>General</c:formatCode>
                <c:ptCount val="24"/>
                <c:pt idx="0">
                  <c:v>1</c:v>
                </c:pt>
                <c:pt idx="1">
                  <c:v>1.5725407580469799</c:v>
                </c:pt>
                <c:pt idx="2">
                  <c:v>2.23622009738546</c:v>
                </c:pt>
                <c:pt idx="3">
                  <c:v>3.2337683144357099</c:v>
                </c:pt>
                <c:pt idx="4">
                  <c:v>4.4469146351375999</c:v>
                </c:pt>
                <c:pt idx="5">
                  <c:v>6.3236923602729496</c:v>
                </c:pt>
                <c:pt idx="6">
                  <c:v>8.5514331642576895</c:v>
                </c:pt>
                <c:pt idx="7">
                  <c:v>11.759479587664099</c:v>
                </c:pt>
                <c:pt idx="8">
                  <c:v>14.8706547638033</c:v>
                </c:pt>
                <c:pt idx="9">
                  <c:v>17.005255132980501</c:v>
                </c:pt>
                <c:pt idx="10">
                  <c:v>19.4462034091557</c:v>
                </c:pt>
                <c:pt idx="11">
                  <c:v>25.429601657535901</c:v>
                </c:pt>
                <c:pt idx="12">
                  <c:v>33.816293925201101</c:v>
                </c:pt>
                <c:pt idx="13">
                  <c:v>45.729260832000499</c:v>
                </c:pt>
                <c:pt idx="14">
                  <c:v>62.884466145454397</c:v>
                </c:pt>
                <c:pt idx="15">
                  <c:v>86.4755374022007</c:v>
                </c:pt>
                <c:pt idx="16">
                  <c:v>120.92725255241299</c:v>
                </c:pt>
                <c:pt idx="17">
                  <c:v>166.29277580348699</c:v>
                </c:pt>
                <c:pt idx="18">
                  <c:v>221.13619630930501</c:v>
                </c:pt>
                <c:pt idx="19">
                  <c:v>319.78212951218302</c:v>
                </c:pt>
                <c:pt idx="20">
                  <c:v>425.24639706285302</c:v>
                </c:pt>
                <c:pt idx="21">
                  <c:v>565.49282003592396</c:v>
                </c:pt>
                <c:pt idx="22">
                  <c:v>751.99256647650702</c:v>
                </c:pt>
                <c:pt idx="23">
                  <c:v>1000</c:v>
                </c:pt>
              </c:numCache>
            </c:numRef>
          </c:xVal>
          <c:yVal>
            <c:numRef>
              <c:f>Coss!$B$2:$B$25</c:f>
              <c:numCache>
                <c:formatCode>General</c:formatCode>
                <c:ptCount val="24"/>
                <c:pt idx="0">
                  <c:v>770.33545288066898</c:v>
                </c:pt>
                <c:pt idx="1">
                  <c:v>699.72988429584996</c:v>
                </c:pt>
                <c:pt idx="2">
                  <c:v>653.29506421266206</c:v>
                </c:pt>
                <c:pt idx="3">
                  <c:v>585.32315458432299</c:v>
                </c:pt>
                <c:pt idx="4">
                  <c:v>524.42319234315005</c:v>
                </c:pt>
                <c:pt idx="5">
                  <c:v>444.74531431114002</c:v>
                </c:pt>
                <c:pt idx="6">
                  <c:v>387.67620764136399</c:v>
                </c:pt>
                <c:pt idx="7">
                  <c:v>328.774888936624</c:v>
                </c:pt>
                <c:pt idx="8">
                  <c:v>271.26862791714598</c:v>
                </c:pt>
                <c:pt idx="9">
                  <c:v>208.96790975974099</c:v>
                </c:pt>
                <c:pt idx="10">
                  <c:v>156.61417468793499</c:v>
                </c:pt>
                <c:pt idx="11">
                  <c:v>129.22067259267399</c:v>
                </c:pt>
                <c:pt idx="12">
                  <c:v>111.102941024982</c:v>
                </c:pt>
                <c:pt idx="13">
                  <c:v>96.846396243278306</c:v>
                </c:pt>
                <c:pt idx="14">
                  <c:v>83.267841596109093</c:v>
                </c:pt>
                <c:pt idx="15">
                  <c:v>71.593050156082796</c:v>
                </c:pt>
                <c:pt idx="16">
                  <c:v>62.406348920339099</c:v>
                </c:pt>
                <c:pt idx="17">
                  <c:v>54.398434299781599</c:v>
                </c:pt>
                <c:pt idx="18">
                  <c:v>47.418117599839</c:v>
                </c:pt>
                <c:pt idx="19">
                  <c:v>38.590555604498498</c:v>
                </c:pt>
                <c:pt idx="20">
                  <c:v>33.179884805514803</c:v>
                </c:pt>
                <c:pt idx="21">
                  <c:v>29.322220156321599</c:v>
                </c:pt>
                <c:pt idx="22">
                  <c:v>27.002973849438899</c:v>
                </c:pt>
                <c:pt idx="23">
                  <c:v>25.913067508687998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DC-421D-A51F-42ED2701D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421407"/>
        <c:axId val="1641418911"/>
      </c:scatterChart>
      <c:valAx>
        <c:axId val="164142140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1418911"/>
        <c:crosses val="autoZero"/>
        <c:crossBetween val="midCat"/>
      </c:valAx>
      <c:valAx>
        <c:axId val="164141891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1421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Crss!$A$2:$A$27</c:f>
              <c:numCache>
                <c:formatCode>General</c:formatCode>
                <c:ptCount val="26"/>
                <c:pt idx="0">
                  <c:v>1</c:v>
                </c:pt>
                <c:pt idx="1">
                  <c:v>1.28594786222249</c:v>
                </c:pt>
                <c:pt idx="2">
                  <c:v>1.85959220012976</c:v>
                </c:pt>
                <c:pt idx="3">
                  <c:v>2.6004507446271998</c:v>
                </c:pt>
                <c:pt idx="4">
                  <c:v>3.5760026258503799</c:v>
                </c:pt>
                <c:pt idx="5">
                  <c:v>4.8357817876590303</c:v>
                </c:pt>
                <c:pt idx="6">
                  <c:v>6.4306141722424703</c:v>
                </c:pt>
                <c:pt idx="7">
                  <c:v>8.26942793629485</c:v>
                </c:pt>
                <c:pt idx="8">
                  <c:v>10.4572491510416</c:v>
                </c:pt>
                <c:pt idx="9">
                  <c:v>13.447466439471199</c:v>
                </c:pt>
                <c:pt idx="10">
                  <c:v>15.637785418292699</c:v>
                </c:pt>
                <c:pt idx="11">
                  <c:v>16.722482043255901</c:v>
                </c:pt>
                <c:pt idx="12">
                  <c:v>17.882445969486</c:v>
                </c:pt>
                <c:pt idx="13">
                  <c:v>19.4462034091557</c:v>
                </c:pt>
                <c:pt idx="14">
                  <c:v>23.384729410636002</c:v>
                </c:pt>
                <c:pt idx="15">
                  <c:v>32.157445762051303</c:v>
                </c:pt>
                <c:pt idx="16">
                  <c:v>45.729260832000499</c:v>
                </c:pt>
                <c:pt idx="17">
                  <c:v>66.128479434553199</c:v>
                </c:pt>
                <c:pt idx="18">
                  <c:v>89.424395703719995</c:v>
                </c:pt>
                <c:pt idx="19">
                  <c:v>127.165308654743</c:v>
                </c:pt>
                <c:pt idx="20">
                  <c:v>174.87130095689901</c:v>
                </c:pt>
                <c:pt idx="21">
                  <c:v>244.53974627101701</c:v>
                </c:pt>
                <c:pt idx="22">
                  <c:v>341.96398825346802</c:v>
                </c:pt>
                <c:pt idx="23">
                  <c:v>470.25158149578999</c:v>
                </c:pt>
                <c:pt idx="24">
                  <c:v>657.59905595297698</c:v>
                </c:pt>
                <c:pt idx="25">
                  <c:v>1000</c:v>
                </c:pt>
              </c:numCache>
            </c:numRef>
          </c:xVal>
          <c:yVal>
            <c:numRef>
              <c:f>Crss!$B$2:$B$27</c:f>
              <c:numCache>
                <c:formatCode>General</c:formatCode>
                <c:ptCount val="26"/>
                <c:pt idx="0">
                  <c:v>154.47807792869301</c:v>
                </c:pt>
                <c:pt idx="1">
                  <c:v>144.22674821360701</c:v>
                </c:pt>
                <c:pt idx="2">
                  <c:v>125.719770369027</c:v>
                </c:pt>
                <c:pt idx="3">
                  <c:v>109.58761833347801</c:v>
                </c:pt>
                <c:pt idx="4">
                  <c:v>91.669872766141495</c:v>
                </c:pt>
                <c:pt idx="5">
                  <c:v>75.635802189647606</c:v>
                </c:pt>
                <c:pt idx="6">
                  <c:v>62.406348920339099</c:v>
                </c:pt>
                <c:pt idx="7">
                  <c:v>51.490791029659903</c:v>
                </c:pt>
                <c:pt idx="8">
                  <c:v>41.905069963671998</c:v>
                </c:pt>
                <c:pt idx="9">
                  <c:v>32.280939909416297</c:v>
                </c:pt>
                <c:pt idx="10">
                  <c:v>25.2110195016432</c:v>
                </c:pt>
                <c:pt idx="11">
                  <c:v>17.8848391952369</c:v>
                </c:pt>
                <c:pt idx="12">
                  <c:v>13.4040556704316</c:v>
                </c:pt>
                <c:pt idx="13">
                  <c:v>9.7737124311695194</c:v>
                </c:pt>
                <c:pt idx="14">
                  <c:v>7.6331499453580198</c:v>
                </c:pt>
                <c:pt idx="15">
                  <c:v>6.8389609078352196</c:v>
                </c:pt>
                <c:pt idx="16">
                  <c:v>5.7998880730784803</c:v>
                </c:pt>
                <c:pt idx="17">
                  <c:v>4.9866991836975396</c:v>
                </c:pt>
                <c:pt idx="18">
                  <c:v>4.5296387272428502</c:v>
                </c:pt>
                <c:pt idx="19">
                  <c:v>4.0583536815059196</c:v>
                </c:pt>
                <c:pt idx="20">
                  <c:v>3.5865108859025798</c:v>
                </c:pt>
                <c:pt idx="21">
                  <c:v>3.1262937211927899</c:v>
                </c:pt>
                <c:pt idx="22">
                  <c:v>2.7251329055945499</c:v>
                </c:pt>
                <c:pt idx="23">
                  <c:v>2.4753599875749401</c:v>
                </c:pt>
                <c:pt idx="24">
                  <c:v>2.34304832516926</c:v>
                </c:pt>
                <c:pt idx="25">
                  <c:v>2.3110917067245702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3-407C-861F-125A9F045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6483263"/>
        <c:axId val="1646484927"/>
      </c:scatterChart>
      <c:valAx>
        <c:axId val="164648326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6484927"/>
        <c:crosses val="autoZero"/>
        <c:crossBetween val="midCat"/>
      </c:valAx>
      <c:valAx>
        <c:axId val="164648492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64648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365759</xdr:colOff>
      <xdr:row>2</xdr:row>
      <xdr:rowOff>198120</xdr:rowOff>
    </xdr:from>
    <xdr:to>
      <xdr:col>17</xdr:col>
      <xdr:colOff>300162</xdr:colOff>
      <xdr:row>8</xdr:row>
      <xdr:rowOff>129540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B4AE46C-0387-4899-AB09-3C598B3B4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4559" y="609600"/>
          <a:ext cx="8468803" cy="1165860"/>
        </a:xfrm>
        <a:prstGeom prst="rect">
          <a:avLst/>
        </a:prstGeom>
      </xdr:spPr>
    </xdr:pic>
    <xdr:clientData/>
  </xdr:twoCellAnchor>
  <xdr:twoCellAnchor>
    <xdr:from>
      <xdr:col>14</xdr:col>
      <xdr:colOff>266700</xdr:colOff>
      <xdr:row>2</xdr:row>
      <xdr:rowOff>144780</xdr:rowOff>
    </xdr:from>
    <xdr:to>
      <xdr:col>17</xdr:col>
      <xdr:colOff>403860</xdr:colOff>
      <xdr:row>8</xdr:row>
      <xdr:rowOff>152400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1C1E39B-6456-4DBB-BAAB-953A9127E510}"/>
            </a:ext>
          </a:extLst>
        </xdr:cNvPr>
        <xdr:cNvSpPr/>
      </xdr:nvSpPr>
      <xdr:spPr>
        <a:xfrm>
          <a:off x="8801100" y="556260"/>
          <a:ext cx="1965960" cy="124206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396240</xdr:colOff>
      <xdr:row>1</xdr:row>
      <xdr:rowOff>45720</xdr:rowOff>
    </xdr:from>
    <xdr:to>
      <xdr:col>13</xdr:col>
      <xdr:colOff>92048</xdr:colOff>
      <xdr:row>9</xdr:row>
      <xdr:rowOff>99207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A9F8768-ADB1-44C1-B761-CE6F91A05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" y="251460"/>
          <a:ext cx="7011008" cy="1699407"/>
        </a:xfrm>
        <a:prstGeom prst="rect">
          <a:avLst/>
        </a:prstGeom>
      </xdr:spPr>
    </xdr:pic>
    <xdr:clientData/>
  </xdr:twoCellAnchor>
  <xdr:twoCellAnchor>
    <xdr:from>
      <xdr:col>10</xdr:col>
      <xdr:colOff>335280</xdr:colOff>
      <xdr:row>0</xdr:row>
      <xdr:rowOff>198120</xdr:rowOff>
    </xdr:from>
    <xdr:to>
      <xdr:col>13</xdr:col>
      <xdr:colOff>160020</xdr:colOff>
      <xdr:row>3</xdr:row>
      <xdr:rowOff>129540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F9BF329-99C7-4986-A690-156754382E53}"/>
            </a:ext>
          </a:extLst>
        </xdr:cNvPr>
        <xdr:cNvSpPr/>
      </xdr:nvSpPr>
      <xdr:spPr>
        <a:xfrm>
          <a:off x="6431280" y="198120"/>
          <a:ext cx="1653540" cy="5486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</xdr:col>
      <xdr:colOff>60960</xdr:colOff>
      <xdr:row>12</xdr:row>
      <xdr:rowOff>68580</xdr:rowOff>
    </xdr:from>
    <xdr:to>
      <xdr:col>12</xdr:col>
      <xdr:colOff>1912</xdr:colOff>
      <xdr:row>32</xdr:row>
      <xdr:rowOff>45720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6701592-7179-435B-B1E1-40BE708BA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" y="2537460"/>
          <a:ext cx="6646552" cy="40919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</xdr:colOff>
      <xdr:row>1</xdr:row>
      <xdr:rowOff>45720</xdr:rowOff>
    </xdr:from>
    <xdr:to>
      <xdr:col>9</xdr:col>
      <xdr:colOff>495606</xdr:colOff>
      <xdr:row>20</xdr:row>
      <xdr:rowOff>198472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9EE8D20-5F33-4CAB-98A1-E2AD5EDFD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3640" y="251460"/>
          <a:ext cx="3528366" cy="4061812"/>
        </a:xfrm>
        <a:prstGeom prst="rect">
          <a:avLst/>
        </a:prstGeom>
      </xdr:spPr>
    </xdr:pic>
    <xdr:clientData/>
  </xdr:twoCellAnchor>
  <xdr:twoCellAnchor>
    <xdr:from>
      <xdr:col>5</xdr:col>
      <xdr:colOff>464820</xdr:colOff>
      <xdr:row>5</xdr:row>
      <xdr:rowOff>121920</xdr:rowOff>
    </xdr:from>
    <xdr:to>
      <xdr:col>6</xdr:col>
      <xdr:colOff>144780</xdr:colOff>
      <xdr:row>7</xdr:row>
      <xdr:rowOff>167640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12515012-3492-4DD3-A39C-566BDBF7CEAA}"/>
            </a:ext>
          </a:extLst>
        </xdr:cNvPr>
        <xdr:cNvCxnSpPr/>
      </xdr:nvCxnSpPr>
      <xdr:spPr>
        <a:xfrm>
          <a:off x="3512820" y="1150620"/>
          <a:ext cx="289560" cy="45720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582930</xdr:colOff>
      <xdr:row>2</xdr:row>
      <xdr:rowOff>167640</xdr:rowOff>
    </xdr:from>
    <xdr:to>
      <xdr:col>19</xdr:col>
      <xdr:colOff>278130</xdr:colOff>
      <xdr:row>16</xdr:row>
      <xdr:rowOff>30480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C1009C7D-F176-4CF7-B74D-2F36D1AA6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350520</xdr:colOff>
      <xdr:row>0</xdr:row>
      <xdr:rowOff>83820</xdr:rowOff>
    </xdr:from>
    <xdr:to>
      <xdr:col>10</xdr:col>
      <xdr:colOff>129891</xdr:colOff>
      <xdr:row>23</xdr:row>
      <xdr:rowOff>137575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1DA0F0C-21D3-4408-9E4F-B86A25604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9320" y="83820"/>
          <a:ext cx="4046571" cy="4785775"/>
        </a:xfrm>
        <a:prstGeom prst="rect">
          <a:avLst/>
        </a:prstGeom>
      </xdr:spPr>
    </xdr:pic>
    <xdr:clientData/>
  </xdr:twoCellAnchor>
  <xdr:twoCellAnchor>
    <xdr:from>
      <xdr:col>7</xdr:col>
      <xdr:colOff>441960</xdr:colOff>
      <xdr:row>10</xdr:row>
      <xdr:rowOff>175260</xdr:rowOff>
    </xdr:from>
    <xdr:to>
      <xdr:col>8</xdr:col>
      <xdr:colOff>358140</xdr:colOff>
      <xdr:row>12</xdr:row>
      <xdr:rowOff>190500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B8BB1F28-36EE-4C14-BF0E-575176A057D8}"/>
            </a:ext>
          </a:extLst>
        </xdr:cNvPr>
        <xdr:cNvCxnSpPr/>
      </xdr:nvCxnSpPr>
      <xdr:spPr>
        <a:xfrm>
          <a:off x="4709160" y="2232660"/>
          <a:ext cx="525780" cy="426720"/>
        </a:xfrm>
        <a:prstGeom prst="straightConnector1">
          <a:avLst/>
        </a:prstGeom>
        <a:ln w="381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240030</xdr:colOff>
      <xdr:row>1</xdr:row>
      <xdr:rowOff>53340</xdr:rowOff>
    </xdr:from>
    <xdr:to>
      <xdr:col>18</xdr:col>
      <xdr:colOff>544830</xdr:colOff>
      <xdr:row>14</xdr:row>
      <xdr:rowOff>121920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4A0FDE5F-5758-4082-9F28-27F0E3015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2</xdr:row>
      <xdr:rowOff>15240</xdr:rowOff>
    </xdr:from>
    <xdr:to>
      <xdr:col>15</xdr:col>
      <xdr:colOff>15935</xdr:colOff>
      <xdr:row>6</xdr:row>
      <xdr:rowOff>7691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FF58CAA-5C5E-4AE1-93DA-2B6A8235B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426720"/>
          <a:ext cx="8016935" cy="815411"/>
        </a:xfrm>
        <a:prstGeom prst="rect">
          <a:avLst/>
        </a:prstGeom>
      </xdr:spPr>
    </xdr:pic>
    <xdr:clientData/>
  </xdr:twoCellAnchor>
  <xdr:twoCellAnchor>
    <xdr:from>
      <xdr:col>13</xdr:col>
      <xdr:colOff>22860</xdr:colOff>
      <xdr:row>1</xdr:row>
      <xdr:rowOff>91440</xdr:rowOff>
    </xdr:from>
    <xdr:to>
      <xdr:col>15</xdr:col>
      <xdr:colOff>137160</xdr:colOff>
      <xdr:row>4</xdr:row>
      <xdr:rowOff>60960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7B2DFFB-F4E4-411A-8A96-F32BA3716D1A}"/>
            </a:ext>
          </a:extLst>
        </xdr:cNvPr>
        <xdr:cNvSpPr/>
      </xdr:nvSpPr>
      <xdr:spPr>
        <a:xfrm>
          <a:off x="7947660" y="297180"/>
          <a:ext cx="1333500" cy="5867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251460</xdr:colOff>
      <xdr:row>0</xdr:row>
      <xdr:rowOff>0</xdr:rowOff>
    </xdr:from>
    <xdr:to>
      <xdr:col>10</xdr:col>
      <xdr:colOff>38451</xdr:colOff>
      <xdr:row>23</xdr:row>
      <xdr:rowOff>114720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F83CF6B-65A8-463A-B7B9-729AE6339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0260" y="0"/>
          <a:ext cx="4054191" cy="4846740"/>
        </a:xfrm>
        <a:prstGeom prst="rect">
          <a:avLst/>
        </a:prstGeom>
      </xdr:spPr>
    </xdr:pic>
    <xdr:clientData/>
  </xdr:twoCellAnchor>
  <xdr:twoCellAnchor>
    <xdr:from>
      <xdr:col>8</xdr:col>
      <xdr:colOff>30480</xdr:colOff>
      <xdr:row>11</xdr:row>
      <xdr:rowOff>53340</xdr:rowOff>
    </xdr:from>
    <xdr:to>
      <xdr:col>8</xdr:col>
      <xdr:colOff>304800</xdr:colOff>
      <xdr:row>13</xdr:row>
      <xdr:rowOff>160020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585F64D5-3A03-4C34-B9BC-A00EEBF1C0B4}"/>
            </a:ext>
          </a:extLst>
        </xdr:cNvPr>
        <xdr:cNvCxnSpPr/>
      </xdr:nvCxnSpPr>
      <xdr:spPr>
        <a:xfrm>
          <a:off x="4907280" y="2316480"/>
          <a:ext cx="274320" cy="518160"/>
        </a:xfrm>
        <a:prstGeom prst="straightConnector1">
          <a:avLst/>
        </a:prstGeom>
        <a:ln w="127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240030</xdr:colOff>
      <xdr:row>2</xdr:row>
      <xdr:rowOff>114300</xdr:rowOff>
    </xdr:from>
    <xdr:to>
      <xdr:col>18</xdr:col>
      <xdr:colOff>544830</xdr:colOff>
      <xdr:row>15</xdr:row>
      <xdr:rowOff>182880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38EDF6E-D265-40FF-8749-E174BA288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312420</xdr:colOff>
      <xdr:row>2</xdr:row>
      <xdr:rowOff>7620</xdr:rowOff>
    </xdr:from>
    <xdr:to>
      <xdr:col>14</xdr:col>
      <xdr:colOff>290245</xdr:colOff>
      <xdr:row>3</xdr:row>
      <xdr:rowOff>182913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F027631-9ACD-4C96-B25B-A3B508418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2020" y="419100"/>
          <a:ext cx="7902625" cy="381033"/>
        </a:xfrm>
        <a:prstGeom prst="rect">
          <a:avLst/>
        </a:prstGeom>
      </xdr:spPr>
    </xdr:pic>
    <xdr:clientData/>
  </xdr:twoCellAnchor>
  <xdr:twoCellAnchor>
    <xdr:from>
      <xdr:col>11</xdr:col>
      <xdr:colOff>419100</xdr:colOff>
      <xdr:row>1</xdr:row>
      <xdr:rowOff>182880</xdr:rowOff>
    </xdr:from>
    <xdr:to>
      <xdr:col>14</xdr:col>
      <xdr:colOff>342900</xdr:colOff>
      <xdr:row>3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C372D832-8411-4A74-99F7-C124E9712782}"/>
            </a:ext>
          </a:extLst>
        </xdr:cNvPr>
        <xdr:cNvSpPr/>
      </xdr:nvSpPr>
      <xdr:spPr>
        <a:xfrm>
          <a:off x="7124700" y="388620"/>
          <a:ext cx="1752600" cy="4191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129540</xdr:rowOff>
    </xdr:from>
    <xdr:to>
      <xdr:col>10</xdr:col>
      <xdr:colOff>457557</xdr:colOff>
      <xdr:row>24</xdr:row>
      <xdr:rowOff>30900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E8F877E-C5C6-49A3-9C08-5D2DC422B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129540"/>
          <a:ext cx="4115157" cy="4846740"/>
        </a:xfrm>
        <a:prstGeom prst="rect">
          <a:avLst/>
        </a:prstGeom>
      </xdr:spPr>
    </xdr:pic>
    <xdr:clientData/>
  </xdr:twoCellAnchor>
  <xdr:twoCellAnchor>
    <xdr:from>
      <xdr:col>7</xdr:col>
      <xdr:colOff>190500</xdr:colOff>
      <xdr:row>4</xdr:row>
      <xdr:rowOff>99060</xdr:rowOff>
    </xdr:from>
    <xdr:to>
      <xdr:col>7</xdr:col>
      <xdr:colOff>198120</xdr:colOff>
      <xdr:row>6</xdr:row>
      <xdr:rowOff>106680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4D3AA0ED-80F1-481F-BF3B-BFF38CA523A8}"/>
            </a:ext>
          </a:extLst>
        </xdr:cNvPr>
        <xdr:cNvCxnSpPr/>
      </xdr:nvCxnSpPr>
      <xdr:spPr>
        <a:xfrm>
          <a:off x="4457700" y="929640"/>
          <a:ext cx="7620" cy="41910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567690</xdr:colOff>
      <xdr:row>1</xdr:row>
      <xdr:rowOff>45720</xdr:rowOff>
    </xdr:from>
    <xdr:to>
      <xdr:col>19</xdr:col>
      <xdr:colOff>262890</xdr:colOff>
      <xdr:row>14</xdr:row>
      <xdr:rowOff>114300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237C4A4-62FB-4692-AF11-D92B5D249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601980</xdr:colOff>
      <xdr:row>0</xdr:row>
      <xdr:rowOff>91440</xdr:rowOff>
    </xdr:from>
    <xdr:to>
      <xdr:col>9</xdr:col>
      <xdr:colOff>449937</xdr:colOff>
      <xdr:row>23</xdr:row>
      <xdr:rowOff>198540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30222D0-1F4A-467C-80CE-B9190CF89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1180" y="91440"/>
          <a:ext cx="4115157" cy="4846740"/>
        </a:xfrm>
        <a:prstGeom prst="rect">
          <a:avLst/>
        </a:prstGeom>
      </xdr:spPr>
    </xdr:pic>
    <xdr:clientData/>
  </xdr:twoCellAnchor>
  <xdr:twoCellAnchor>
    <xdr:from>
      <xdr:col>6</xdr:col>
      <xdr:colOff>373380</xdr:colOff>
      <xdr:row>8</xdr:row>
      <xdr:rowOff>152400</xdr:rowOff>
    </xdr:from>
    <xdr:to>
      <xdr:col>7</xdr:col>
      <xdr:colOff>106680</xdr:colOff>
      <xdr:row>10</xdr:row>
      <xdr:rowOff>68580</xdr:rowOff>
    </xdr:to>
    <xdr:cxnSp macro="">
      <xdr:nvCxnSpPr>
        <xdr:cNvPr id="5" name="直線單箭頭接點 4">
          <a:extLst>
            <a:ext uri="{FF2B5EF4-FFF2-40B4-BE49-F238E27FC236}">
              <a16:creationId xmlns:a16="http://schemas.microsoft.com/office/drawing/2014/main" id="{64B5E883-E131-4C73-93A8-4AB7B6EF3433}"/>
            </a:ext>
          </a:extLst>
        </xdr:cNvPr>
        <xdr:cNvCxnSpPr/>
      </xdr:nvCxnSpPr>
      <xdr:spPr>
        <a:xfrm flipH="1">
          <a:off x="4030980" y="1805940"/>
          <a:ext cx="342900" cy="32766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308610</xdr:colOff>
      <xdr:row>1</xdr:row>
      <xdr:rowOff>137160</xdr:rowOff>
    </xdr:from>
    <xdr:to>
      <xdr:col>19</xdr:col>
      <xdr:colOff>3810</xdr:colOff>
      <xdr:row>15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F651019-002E-40A0-BDE0-B2C582F36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213360</xdr:colOff>
      <xdr:row>1</xdr:row>
      <xdr:rowOff>15240</xdr:rowOff>
    </xdr:from>
    <xdr:to>
      <xdr:col>11</xdr:col>
      <xdr:colOff>61317</xdr:colOff>
      <xdr:row>24</xdr:row>
      <xdr:rowOff>129960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4DA3B7A-65B7-4736-A4C9-F0FFCB261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1760" y="220980"/>
          <a:ext cx="4115157" cy="4846740"/>
        </a:xfrm>
        <a:prstGeom prst="rect">
          <a:avLst/>
        </a:prstGeom>
      </xdr:spPr>
    </xdr:pic>
    <xdr:clientData/>
  </xdr:twoCellAnchor>
  <xdr:twoCellAnchor>
    <xdr:from>
      <xdr:col>8</xdr:col>
      <xdr:colOff>114300</xdr:colOff>
      <xdr:row>15</xdr:row>
      <xdr:rowOff>53340</xdr:rowOff>
    </xdr:from>
    <xdr:to>
      <xdr:col>8</xdr:col>
      <xdr:colOff>251460</xdr:colOff>
      <xdr:row>17</xdr:row>
      <xdr:rowOff>129540</xdr:rowOff>
    </xdr:to>
    <xdr:cxnSp macro="">
      <xdr:nvCxnSpPr>
        <xdr:cNvPr id="4" name="直線單箭頭接點 3">
          <a:extLst>
            <a:ext uri="{FF2B5EF4-FFF2-40B4-BE49-F238E27FC236}">
              <a16:creationId xmlns:a16="http://schemas.microsoft.com/office/drawing/2014/main" id="{7266F055-8F80-4167-931E-A5C11CE11547}"/>
            </a:ext>
          </a:extLst>
        </xdr:cNvPr>
        <xdr:cNvCxnSpPr/>
      </xdr:nvCxnSpPr>
      <xdr:spPr>
        <a:xfrm flipH="1">
          <a:off x="4991100" y="3139440"/>
          <a:ext cx="137160" cy="487680"/>
        </a:xfrm>
        <a:prstGeom prst="straightConnector1">
          <a:avLst/>
        </a:prstGeom>
        <a:ln w="28575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49530</xdr:colOff>
      <xdr:row>3</xdr:row>
      <xdr:rowOff>38100</xdr:rowOff>
    </xdr:from>
    <xdr:to>
      <xdr:col>20</xdr:col>
      <xdr:colOff>354330</xdr:colOff>
      <xdr:row>16</xdr:row>
      <xdr:rowOff>106680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A55F399-AEAF-430F-8B77-521DAF4432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4E2E-5C96-4FA5-92E3-1787921316D5}">
  <dimension ref="A1:C2"/>
  <sheetViews>
    <sheetView workbookViewId="0">
      <selection activeCell="D25" sqref="D25"/>
    </sheetView>
  </sheetViews>
  <sheetFormatPr defaultRowHeight="15.6"/>
  <sheetData>
    <row r="1" spans="1:3">
      <c r="A1" s="1" t="s">
        <v>0</v>
      </c>
      <c r="B1" s="1" t="s">
        <v>1</v>
      </c>
      <c r="C1" s="2" t="s">
        <v>2</v>
      </c>
    </row>
    <row r="2" spans="1:3">
      <c r="A2" s="2" t="s">
        <v>3</v>
      </c>
      <c r="B2" s="2" t="s">
        <v>4</v>
      </c>
      <c r="C2" s="2" t="s">
        <v>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00BBC-DD47-4837-9F2D-E5056030DC75}">
  <dimension ref="A1:B12"/>
  <sheetViews>
    <sheetView workbookViewId="0">
      <selection activeCell="A8" sqref="A8"/>
    </sheetView>
  </sheetViews>
  <sheetFormatPr defaultRowHeight="15.6"/>
  <sheetData>
    <row r="1" spans="1:2">
      <c r="A1" s="2" t="s">
        <v>6</v>
      </c>
      <c r="B1" s="2"/>
    </row>
    <row r="2" spans="1:2">
      <c r="A2" s="2" t="s">
        <v>7</v>
      </c>
      <c r="B2" s="2"/>
    </row>
    <row r="3" spans="1:2">
      <c r="A3" s="2"/>
      <c r="B3" s="2"/>
    </row>
    <row r="12" spans="1:2">
      <c r="B12">
        <f>16.401898/9.4940967</f>
        <v>1.7275891028158581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896E-5FF5-4250-BA62-DE0DD4BA8BCB}">
  <dimension ref="A1:C21"/>
  <sheetViews>
    <sheetView workbookViewId="0">
      <selection activeCell="Q20" sqref="Q20"/>
    </sheetView>
  </sheetViews>
  <sheetFormatPr defaultRowHeight="15.6"/>
  <sheetData>
    <row r="1" spans="1:3">
      <c r="A1" s="3" t="s">
        <v>21</v>
      </c>
      <c r="B1" s="3" t="s">
        <v>20</v>
      </c>
      <c r="C1" s="2" t="s">
        <v>8</v>
      </c>
    </row>
    <row r="2" spans="1:3">
      <c r="A2" s="2">
        <v>0</v>
      </c>
      <c r="B2" s="2">
        <v>0</v>
      </c>
      <c r="C2" s="2" t="s">
        <v>9</v>
      </c>
    </row>
    <row r="3" spans="1:3">
      <c r="A3" s="2">
        <v>0.341149092367239</v>
      </c>
      <c r="B3" s="2">
        <v>5.2052307967405804</v>
      </c>
      <c r="C3" s="2" t="s">
        <v>9</v>
      </c>
    </row>
    <row r="4" spans="1:3">
      <c r="A4" s="2">
        <v>0.68230021815558395</v>
      </c>
      <c r="B4" s="2">
        <v>9.9067107266562093</v>
      </c>
      <c r="C4" s="2" t="s">
        <v>9</v>
      </c>
    </row>
    <row r="5" spans="1:3">
      <c r="A5" s="2">
        <v>1.0234513439439199</v>
      </c>
      <c r="B5" s="2">
        <v>14.272394109459899</v>
      </c>
      <c r="C5" s="2" t="s">
        <v>9</v>
      </c>
    </row>
    <row r="6" spans="1:3">
      <c r="A6" s="2">
        <v>1.4072473771663601</v>
      </c>
      <c r="B6" s="2">
        <v>19.813437466500101</v>
      </c>
      <c r="C6" s="2" t="s">
        <v>9</v>
      </c>
    </row>
    <row r="7" spans="1:3">
      <c r="A7" s="2">
        <v>1.8336883178229</v>
      </c>
      <c r="B7" s="2">
        <v>25.690301390433898</v>
      </c>
      <c r="C7" s="2" t="s">
        <v>9</v>
      </c>
    </row>
    <row r="8" spans="1:3">
      <c r="A8" s="2">
        <v>2.1748394436112499</v>
      </c>
      <c r="B8" s="2">
        <v>30.223883046793599</v>
      </c>
      <c r="C8" s="2" t="s">
        <v>9</v>
      </c>
    </row>
    <row r="9" spans="1:3">
      <c r="A9" s="2">
        <v>2.6012763174255702</v>
      </c>
      <c r="B9" s="2">
        <v>35.932824677389803</v>
      </c>
      <c r="C9" s="2" t="s">
        <v>9</v>
      </c>
    </row>
    <row r="10" spans="1:3">
      <c r="A10" s="2">
        <v>2.8997866026220298</v>
      </c>
      <c r="B10" s="2">
        <v>39.962687493300002</v>
      </c>
      <c r="C10" s="2" t="s">
        <v>9</v>
      </c>
    </row>
    <row r="11" spans="1:3">
      <c r="A11" s="2">
        <v>3.24093772841037</v>
      </c>
      <c r="B11" s="2">
        <v>44.496269149659597</v>
      </c>
      <c r="C11" s="2" t="s">
        <v>9</v>
      </c>
    </row>
    <row r="12" spans="1:3">
      <c r="A12" s="2">
        <v>3.6247337616328199</v>
      </c>
      <c r="B12" s="2">
        <v>49.5335776530627</v>
      </c>
      <c r="C12" s="2" t="s">
        <v>9</v>
      </c>
    </row>
    <row r="13" spans="1:3">
      <c r="A13" s="2">
        <v>3.9658848874211601</v>
      </c>
      <c r="B13" s="2">
        <v>54.402987882909699</v>
      </c>
      <c r="C13" s="2" t="s">
        <v>9</v>
      </c>
    </row>
    <row r="14" spans="1:3">
      <c r="A14" s="2">
        <v>4.3070360132095002</v>
      </c>
      <c r="B14" s="2">
        <v>58.768655252525697</v>
      </c>
      <c r="C14" s="2" t="s">
        <v>9</v>
      </c>
    </row>
    <row r="15" spans="1:3">
      <c r="A15" s="2">
        <v>4.6908320464319502</v>
      </c>
      <c r="B15" s="2">
        <v>63.805963755928701</v>
      </c>
      <c r="C15" s="2" t="s">
        <v>9</v>
      </c>
    </row>
    <row r="16" spans="1:3">
      <c r="A16" s="2">
        <v>5.07462401281217</v>
      </c>
      <c r="B16" s="2">
        <v>68.8432802659256</v>
      </c>
      <c r="C16" s="2" t="s">
        <v>9</v>
      </c>
    </row>
    <row r="17" spans="1:3">
      <c r="A17" s="2">
        <v>5.5010649534687097</v>
      </c>
      <c r="B17" s="2">
        <v>73.880592772625604</v>
      </c>
      <c r="C17" s="2" t="s">
        <v>9</v>
      </c>
    </row>
    <row r="18" spans="1:3">
      <c r="A18" s="2">
        <v>5.9275058941252503</v>
      </c>
      <c r="B18" s="2">
        <v>79.253729849516006</v>
      </c>
      <c r="C18" s="2" t="s">
        <v>9</v>
      </c>
    </row>
    <row r="19" spans="1:3">
      <c r="A19" s="2">
        <v>6.3965917422158798</v>
      </c>
      <c r="B19" s="2">
        <v>84.794769203259307</v>
      </c>
      <c r="C19" s="2" t="s">
        <v>9</v>
      </c>
    </row>
    <row r="20" spans="1:3">
      <c r="A20" s="2">
        <v>6.8656694566220899</v>
      </c>
      <c r="B20" s="2">
        <v>90</v>
      </c>
      <c r="C20" s="2" t="s">
        <v>9</v>
      </c>
    </row>
    <row r="21" spans="1:3">
      <c r="A21" s="2"/>
      <c r="B21" s="2"/>
      <c r="C21" s="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3C93-60A6-4759-B2FA-C5EDEB7DD6CD}">
  <dimension ref="A1:C28"/>
  <sheetViews>
    <sheetView workbookViewId="0">
      <selection activeCell="Q22" sqref="Q22"/>
    </sheetView>
  </sheetViews>
  <sheetFormatPr defaultRowHeight="15.6"/>
  <sheetData>
    <row r="1" spans="1:3">
      <c r="A1" s="1" t="s">
        <v>22</v>
      </c>
      <c r="B1" s="1" t="s">
        <v>20</v>
      </c>
      <c r="C1" s="2" t="s">
        <v>10</v>
      </c>
    </row>
    <row r="2" spans="1:3">
      <c r="A2" s="2">
        <v>0</v>
      </c>
      <c r="B2" s="2">
        <v>0</v>
      </c>
      <c r="C2" s="2">
        <v>20</v>
      </c>
    </row>
    <row r="3" spans="1:3">
      <c r="A3" s="2">
        <v>3.1011236532967499</v>
      </c>
      <c r="B3" s="4">
        <v>1.0000000000000001E-9</v>
      </c>
      <c r="C3" s="2">
        <v>20</v>
      </c>
    </row>
    <row r="4" spans="1:3">
      <c r="A4" s="2">
        <v>6.56179964546891</v>
      </c>
      <c r="B4" s="4">
        <v>2.0000000000000001E-9</v>
      </c>
      <c r="C4" s="2">
        <v>20</v>
      </c>
    </row>
    <row r="5" spans="1:3">
      <c r="A5" s="2">
        <v>7.9550555826001297</v>
      </c>
      <c r="B5" s="2">
        <v>3.4681958777378399</v>
      </c>
      <c r="C5" s="2">
        <v>20</v>
      </c>
    </row>
    <row r="6" spans="1:3">
      <c r="A6" s="2">
        <v>8.9438207641030996</v>
      </c>
      <c r="B6" s="2">
        <v>7.7071223674498004</v>
      </c>
      <c r="C6" s="2">
        <v>20</v>
      </c>
    </row>
    <row r="7" spans="1:3">
      <c r="A7" s="2">
        <v>9.7078660016949598</v>
      </c>
      <c r="B7" s="2">
        <v>12.3313957879197</v>
      </c>
      <c r="C7" s="2">
        <v>20</v>
      </c>
    </row>
    <row r="8" spans="1:3">
      <c r="A8" s="2">
        <v>10.382021547251799</v>
      </c>
      <c r="B8" s="2">
        <v>18.111746751121601</v>
      </c>
      <c r="C8" s="2">
        <v>20</v>
      </c>
    </row>
    <row r="9" spans="1:3">
      <c r="A9" s="2">
        <v>11.1011219388261</v>
      </c>
      <c r="B9" s="2">
        <v>25.0481752570556</v>
      </c>
      <c r="C9" s="2">
        <v>20</v>
      </c>
    </row>
    <row r="10" spans="1:3">
      <c r="A10" s="2">
        <v>11.820222330400499</v>
      </c>
      <c r="B10" s="2">
        <v>33.526009861250401</v>
      </c>
      <c r="C10" s="2">
        <v>20</v>
      </c>
    </row>
    <row r="11" spans="1:3">
      <c r="A11" s="2">
        <v>12.4044924700988</v>
      </c>
      <c r="B11" s="2">
        <v>41.233132228700299</v>
      </c>
      <c r="C11" s="2">
        <v>20</v>
      </c>
    </row>
    <row r="12" spans="1:3">
      <c r="A12" s="2">
        <v>12.988762609797099</v>
      </c>
      <c r="B12" s="2">
        <v>49.7109852081242</v>
      </c>
      <c r="C12" s="2">
        <v>20</v>
      </c>
    </row>
    <row r="13" spans="1:3">
      <c r="A13" s="2">
        <v>13.573032749495299</v>
      </c>
      <c r="B13" s="2">
        <v>59.730244285809</v>
      </c>
      <c r="C13" s="2">
        <v>20</v>
      </c>
    </row>
    <row r="14" spans="1:3">
      <c r="A14" s="2">
        <v>14.1123580431761</v>
      </c>
      <c r="B14" s="2">
        <v>69.364156432735896</v>
      </c>
      <c r="C14" s="2">
        <v>20</v>
      </c>
    </row>
    <row r="15" spans="1:3">
      <c r="A15" s="2">
        <v>14.6067427770158</v>
      </c>
      <c r="B15" s="2">
        <v>78.9980685796627</v>
      </c>
      <c r="C15" s="2">
        <v>20</v>
      </c>
    </row>
    <row r="16" spans="1:3">
      <c r="A16" s="2">
        <v>15.1011232246791</v>
      </c>
      <c r="B16" s="2">
        <v>89.017327657347494</v>
      </c>
      <c r="C16" s="2">
        <v>20</v>
      </c>
    </row>
    <row r="17" spans="1:3">
      <c r="A17" s="2">
        <v>15.5955036723423</v>
      </c>
      <c r="B17" s="2">
        <v>98.651239804274397</v>
      </c>
      <c r="C17" s="2">
        <v>20</v>
      </c>
    </row>
    <row r="18" spans="1:3">
      <c r="A18" s="2">
        <v>15.999998714147001</v>
      </c>
      <c r="B18" s="2">
        <v>107.899805020443</v>
      </c>
      <c r="C18" s="2">
        <v>20</v>
      </c>
    </row>
    <row r="19" spans="1:3">
      <c r="A19" s="2">
        <v>16.449438601969199</v>
      </c>
      <c r="B19" s="2">
        <v>117.53371716737</v>
      </c>
      <c r="C19" s="2">
        <v>20</v>
      </c>
    </row>
    <row r="20" spans="1:3">
      <c r="A20" s="2">
        <v>16.898874203615001</v>
      </c>
      <c r="B20" s="2">
        <v>127.938341551042</v>
      </c>
      <c r="C20" s="2">
        <v>20</v>
      </c>
    </row>
    <row r="21" spans="1:3">
      <c r="A21" s="2">
        <v>17.3932589374547</v>
      </c>
      <c r="B21" s="2">
        <v>139.11367817145799</v>
      </c>
      <c r="C21" s="2">
        <v>20</v>
      </c>
    </row>
    <row r="22" spans="1:3">
      <c r="A22" s="2">
        <v>18.0674144830115</v>
      </c>
      <c r="B22" s="2">
        <v>154.527941281587</v>
      </c>
      <c r="C22" s="2">
        <v>20</v>
      </c>
    </row>
    <row r="23" spans="1:3">
      <c r="A23" s="2">
        <v>18.651684622709801</v>
      </c>
      <c r="B23" s="2">
        <v>168.400761542997</v>
      </c>
      <c r="C23" s="2">
        <v>20</v>
      </c>
    </row>
    <row r="24" spans="1:3">
      <c r="A24" s="2">
        <v>19.280899608425599</v>
      </c>
      <c r="B24" s="2">
        <v>182.65896548562301</v>
      </c>
      <c r="C24" s="2">
        <v>20</v>
      </c>
    </row>
    <row r="25" spans="1:3">
      <c r="A25" s="2">
        <v>20</v>
      </c>
      <c r="B25" s="2">
        <v>198.45858471412399</v>
      </c>
      <c r="C25" s="2">
        <v>20</v>
      </c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B24E-CF00-4920-B86F-9BCE75B3B125}">
  <dimension ref="A1:A2"/>
  <sheetViews>
    <sheetView workbookViewId="0">
      <selection activeCell="M12" sqref="M12"/>
    </sheetView>
  </sheetViews>
  <sheetFormatPr defaultRowHeight="15.6"/>
  <sheetData>
    <row r="1" spans="1:1">
      <c r="A1" s="2" t="s">
        <v>11</v>
      </c>
    </row>
    <row r="2" spans="1:1">
      <c r="A2" s="2">
        <v>5.0999999999999996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1AEF-344A-4E56-B1D4-18706F953E34}">
  <dimension ref="A1:C27"/>
  <sheetViews>
    <sheetView workbookViewId="0">
      <selection activeCell="F28" sqref="F28"/>
    </sheetView>
  </sheetViews>
  <sheetFormatPr defaultRowHeight="15.6"/>
  <sheetData>
    <row r="1" spans="1:3">
      <c r="A1" s="2" t="s">
        <v>12</v>
      </c>
      <c r="B1" s="2" t="s">
        <v>13</v>
      </c>
      <c r="C1" s="2" t="s">
        <v>14</v>
      </c>
    </row>
    <row r="2" spans="1:3">
      <c r="A2" s="2">
        <v>0</v>
      </c>
      <c r="B2" s="2">
        <v>0</v>
      </c>
      <c r="C2" s="2">
        <v>25</v>
      </c>
    </row>
    <row r="3" spans="1:3">
      <c r="A3" s="2">
        <v>0.66521708167567595</v>
      </c>
      <c r="B3" s="4">
        <v>1.0000000000000001E-9</v>
      </c>
      <c r="C3" s="2">
        <v>25</v>
      </c>
    </row>
    <row r="4" spans="1:3">
      <c r="A4" s="2">
        <v>1.61739166129965</v>
      </c>
      <c r="B4" s="4">
        <v>2.0000000000000001E-9</v>
      </c>
      <c r="C4" s="2">
        <v>25</v>
      </c>
    </row>
    <row r="5" spans="1:3">
      <c r="A5" s="2">
        <v>2.49130482240977</v>
      </c>
      <c r="B5" s="2">
        <v>0.472970926648351</v>
      </c>
      <c r="C5" s="2">
        <v>25</v>
      </c>
    </row>
    <row r="6" spans="1:3">
      <c r="A6" s="2">
        <v>2.8695656500601801</v>
      </c>
      <c r="B6" s="2">
        <v>1.41891922369066</v>
      </c>
      <c r="C6" s="2">
        <v>25</v>
      </c>
    </row>
    <row r="7" spans="1:3">
      <c r="A7" s="2">
        <v>3.1434787489741498</v>
      </c>
      <c r="B7" s="2">
        <v>2.4324301932930301</v>
      </c>
      <c r="C7" s="2">
        <v>25</v>
      </c>
    </row>
    <row r="8" spans="1:3">
      <c r="A8" s="2">
        <v>3.4173918478881098</v>
      </c>
      <c r="B8" s="2">
        <v>3.7162144062452001</v>
      </c>
      <c r="C8" s="2">
        <v>25</v>
      </c>
    </row>
    <row r="9" spans="1:3">
      <c r="A9" s="2">
        <v>3.6130435282882001</v>
      </c>
      <c r="B9" s="2">
        <v>4.79729771402602</v>
      </c>
      <c r="C9" s="2">
        <v>25</v>
      </c>
    </row>
    <row r="10" spans="1:3">
      <c r="A10" s="2">
        <v>3.79565267553853</v>
      </c>
      <c r="B10" s="2">
        <v>5.9459404724940796</v>
      </c>
      <c r="C10" s="2">
        <v>25</v>
      </c>
    </row>
    <row r="11" spans="1:3">
      <c r="A11" s="2">
        <v>3.9782605788657999</v>
      </c>
      <c r="B11" s="2">
        <v>7.1621620128861903</v>
      </c>
      <c r="C11" s="2">
        <v>25</v>
      </c>
    </row>
    <row r="12" spans="1:3">
      <c r="A12" s="2">
        <v>4.1608697261161298</v>
      </c>
      <c r="B12" s="2">
        <v>8.5810812365768605</v>
      </c>
      <c r="C12" s="2">
        <v>25</v>
      </c>
    </row>
    <row r="13" spans="1:3">
      <c r="A13" s="2">
        <v>4.3304350962936304</v>
      </c>
      <c r="B13" s="2">
        <v>9.9324313439618805</v>
      </c>
      <c r="C13" s="2">
        <v>25</v>
      </c>
    </row>
    <row r="14" spans="1:3">
      <c r="A14" s="2">
        <v>4.4869566893983199</v>
      </c>
      <c r="B14" s="2">
        <v>11.283784673219699</v>
      </c>
      <c r="C14" s="2">
        <v>25</v>
      </c>
    </row>
    <row r="15" spans="1:3">
      <c r="A15" s="2">
        <v>4.6043481952076002</v>
      </c>
      <c r="B15" s="2">
        <v>12.4999997698662</v>
      </c>
      <c r="C15" s="2">
        <v>25</v>
      </c>
    </row>
    <row r="16" spans="1:3">
      <c r="A16" s="2">
        <v>4.7347822341666399</v>
      </c>
      <c r="B16" s="2">
        <v>13.783783982818299</v>
      </c>
      <c r="C16" s="2">
        <v>25</v>
      </c>
    </row>
    <row r="17" spans="1:3">
      <c r="A17" s="2">
        <v>4.8652175170487402</v>
      </c>
      <c r="B17" s="2">
        <v>15.135134090203399</v>
      </c>
      <c r="C17" s="2">
        <v>25</v>
      </c>
    </row>
    <row r="18" spans="1:3">
      <c r="A18" s="2">
        <v>4.9956515560077897</v>
      </c>
      <c r="B18" s="2">
        <v>16.554053313893998</v>
      </c>
      <c r="C18" s="2">
        <v>25</v>
      </c>
    </row>
    <row r="19" spans="1:3">
      <c r="A19" s="2">
        <v>5.1130430618170601</v>
      </c>
      <c r="B19" s="2">
        <v>17.7702651886678</v>
      </c>
      <c r="C19" s="2">
        <v>25</v>
      </c>
    </row>
    <row r="20" spans="1:3">
      <c r="A20" s="2">
        <v>5.2565221217719804</v>
      </c>
      <c r="B20" s="2">
        <v>19.391891761275399</v>
      </c>
      <c r="C20" s="2">
        <v>25</v>
      </c>
    </row>
    <row r="21" spans="1:3">
      <c r="A21" s="2">
        <v>5.34782607343561</v>
      </c>
      <c r="B21" s="2">
        <v>20.675675974227499</v>
      </c>
      <c r="C21" s="2">
        <v>25</v>
      </c>
    </row>
    <row r="22" spans="1:3">
      <c r="A22" s="2">
        <v>5.4652175792448903</v>
      </c>
      <c r="B22" s="2">
        <v>22.094595197918199</v>
      </c>
      <c r="C22" s="2">
        <v>25</v>
      </c>
    </row>
    <row r="23" spans="1:3">
      <c r="A23" s="2">
        <v>5.5826090850541696</v>
      </c>
      <c r="B23" s="2">
        <v>23.648649432347401</v>
      </c>
      <c r="C23" s="2">
        <v>25</v>
      </c>
    </row>
    <row r="24" spans="1:3">
      <c r="A24" s="2">
        <v>5.6869568137906201</v>
      </c>
      <c r="B24" s="2">
        <v>24.932430423426801</v>
      </c>
      <c r="C24" s="2">
        <v>25</v>
      </c>
    </row>
    <row r="25" spans="1:3">
      <c r="A25" s="2">
        <v>5.7913045425270804</v>
      </c>
      <c r="B25" s="2">
        <v>26.4189187634231</v>
      </c>
      <c r="C25" s="2">
        <v>25</v>
      </c>
    </row>
    <row r="26" spans="1:3">
      <c r="A26" s="2">
        <v>5.8826084941907197</v>
      </c>
      <c r="B26" s="2">
        <v>27.6351322491332</v>
      </c>
      <c r="C26" s="2">
        <v>25</v>
      </c>
    </row>
    <row r="27" spans="1:3">
      <c r="A27" s="2">
        <v>6</v>
      </c>
      <c r="B27" s="2">
        <v>29.054053083760301</v>
      </c>
      <c r="C27" s="2">
        <v>25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E3399-F4D8-4F30-B017-859F0FF6D5D7}">
  <dimension ref="A1:B3"/>
  <sheetViews>
    <sheetView workbookViewId="0">
      <selection activeCell="E10" sqref="E10"/>
    </sheetView>
  </sheetViews>
  <sheetFormatPr defaultRowHeight="15.6"/>
  <sheetData>
    <row r="1" spans="1:2">
      <c r="A1" s="2" t="s">
        <v>15</v>
      </c>
      <c r="B1" s="2"/>
    </row>
    <row r="2" spans="1:2">
      <c r="A2" s="2">
        <v>10</v>
      </c>
      <c r="B2" s="2"/>
    </row>
    <row r="3" spans="1:2">
      <c r="A3" s="2"/>
      <c r="B3" s="2"/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657D-E22A-488E-B2F7-4FCD1BCE16A0}">
  <dimension ref="A1:B15"/>
  <sheetViews>
    <sheetView workbookViewId="0">
      <selection activeCell="V10" sqref="V10"/>
    </sheetView>
  </sheetViews>
  <sheetFormatPr defaultRowHeight="15.6"/>
  <sheetData>
    <row r="1" spans="1:2" ht="15.9" thickBot="1">
      <c r="A1" s="5" t="s">
        <v>16</v>
      </c>
      <c r="B1" s="6" t="s">
        <v>17</v>
      </c>
    </row>
    <row r="2" spans="1:2">
      <c r="A2">
        <v>1</v>
      </c>
      <c r="B2">
        <v>859.79259489579795</v>
      </c>
    </row>
    <row r="3" spans="1:2">
      <c r="A3">
        <v>1.49540263357878</v>
      </c>
      <c r="B3">
        <v>848.065685890042</v>
      </c>
    </row>
    <row r="4" spans="1:2">
      <c r="A4">
        <v>2.4317697341629199</v>
      </c>
      <c r="B4">
        <v>825.089524367575</v>
      </c>
    </row>
    <row r="5" spans="1:2">
      <c r="A5">
        <v>4.30026633054056</v>
      </c>
      <c r="B5">
        <v>791.78688483944404</v>
      </c>
    </row>
    <row r="6" spans="1:2">
      <c r="A6">
        <v>8.26942793629485</v>
      </c>
      <c r="B6">
        <v>759.828670415376</v>
      </c>
    </row>
    <row r="7" spans="1:2">
      <c r="A7">
        <v>15.3777759841501</v>
      </c>
      <c r="B7">
        <v>739.24306419250104</v>
      </c>
    </row>
    <row r="8" spans="1:2">
      <c r="A8">
        <v>24.1821601699341</v>
      </c>
      <c r="B8">
        <v>719.21517209658998</v>
      </c>
    </row>
    <row r="9" spans="1:2">
      <c r="A9">
        <v>42.763051942780301</v>
      </c>
      <c r="B9">
        <v>719.21517209658998</v>
      </c>
    </row>
    <row r="10" spans="1:2">
      <c r="A10">
        <v>73.126950698915394</v>
      </c>
      <c r="B10">
        <v>719.21517209658998</v>
      </c>
    </row>
    <row r="11" spans="1:2">
      <c r="A11">
        <v>116.93936926221799</v>
      </c>
      <c r="B11">
        <v>719.21517209658998</v>
      </c>
    </row>
    <row r="12" spans="1:2">
      <c r="A12">
        <v>187.001342437478</v>
      </c>
      <c r="B12">
        <v>709.40563090164903</v>
      </c>
    </row>
    <row r="13" spans="1:2">
      <c r="A13">
        <v>336.27815354576501</v>
      </c>
      <c r="B13">
        <v>699.72988429584996</v>
      </c>
    </row>
    <row r="14" spans="1:2">
      <c r="A14">
        <v>565.49282003592396</v>
      </c>
      <c r="B14">
        <v>699.72988429584996</v>
      </c>
    </row>
    <row r="15" spans="1:2">
      <c r="A15">
        <v>1000</v>
      </c>
      <c r="B15">
        <v>690.18610742400995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E66B-EE32-41D2-ADC1-711DABA36DE3}">
  <dimension ref="A1:B25"/>
  <sheetViews>
    <sheetView workbookViewId="0">
      <selection activeCell="V10" sqref="V10"/>
    </sheetView>
  </sheetViews>
  <sheetFormatPr defaultRowHeight="15.6"/>
  <sheetData>
    <row r="1" spans="1:2" ht="15.9" thickBot="1">
      <c r="A1" s="5" t="s">
        <v>16</v>
      </c>
      <c r="B1" s="6" t="s">
        <v>18</v>
      </c>
    </row>
    <row r="2" spans="1:2">
      <c r="A2" s="2">
        <v>1</v>
      </c>
      <c r="B2" s="2">
        <v>770.33545288066898</v>
      </c>
    </row>
    <row r="3" spans="1:2">
      <c r="A3" s="2">
        <v>1.5725407580469799</v>
      </c>
      <c r="B3" s="2">
        <v>699.72988429584996</v>
      </c>
    </row>
    <row r="4" spans="1:2">
      <c r="A4" s="2">
        <v>2.23622009738546</v>
      </c>
      <c r="B4" s="2">
        <v>653.29506421266206</v>
      </c>
    </row>
    <row r="5" spans="1:2">
      <c r="A5" s="2">
        <v>3.2337683144357099</v>
      </c>
      <c r="B5" s="2">
        <v>585.32315458432299</v>
      </c>
    </row>
    <row r="6" spans="1:2">
      <c r="A6" s="2">
        <v>4.4469146351375999</v>
      </c>
      <c r="B6" s="2">
        <v>524.42319234315005</v>
      </c>
    </row>
    <row r="7" spans="1:2">
      <c r="A7" s="2">
        <v>6.3236923602729496</v>
      </c>
      <c r="B7" s="2">
        <v>444.74531431114002</v>
      </c>
    </row>
    <row r="8" spans="1:2">
      <c r="A8" s="2">
        <v>8.5514331642576895</v>
      </c>
      <c r="B8" s="2">
        <v>387.67620764136399</v>
      </c>
    </row>
    <row r="9" spans="1:2">
      <c r="A9" s="2">
        <v>11.759479587664099</v>
      </c>
      <c r="B9" s="2">
        <v>328.774888936624</v>
      </c>
    </row>
    <row r="10" spans="1:2">
      <c r="A10" s="2">
        <v>14.8706547638033</v>
      </c>
      <c r="B10" s="2">
        <v>271.26862791714598</v>
      </c>
    </row>
    <row r="11" spans="1:2">
      <c r="A11" s="2">
        <v>17.005255132980501</v>
      </c>
      <c r="B11" s="2">
        <v>208.96790975974099</v>
      </c>
    </row>
    <row r="12" spans="1:2">
      <c r="A12" s="2">
        <v>19.4462034091557</v>
      </c>
      <c r="B12" s="2">
        <v>156.61417468793499</v>
      </c>
    </row>
    <row r="13" spans="1:2">
      <c r="A13" s="2">
        <v>25.429601657535901</v>
      </c>
      <c r="B13" s="2">
        <v>129.22067259267399</v>
      </c>
    </row>
    <row r="14" spans="1:2">
      <c r="A14" s="2">
        <v>33.816293925201101</v>
      </c>
      <c r="B14" s="2">
        <v>111.102941024982</v>
      </c>
    </row>
    <row r="15" spans="1:2">
      <c r="A15" s="2">
        <v>45.729260832000499</v>
      </c>
      <c r="B15" s="2">
        <v>96.846396243278306</v>
      </c>
    </row>
    <row r="16" spans="1:2">
      <c r="A16" s="2">
        <v>62.884466145454397</v>
      </c>
      <c r="B16" s="2">
        <v>83.267841596109093</v>
      </c>
    </row>
    <row r="17" spans="1:2">
      <c r="A17" s="2">
        <v>86.4755374022007</v>
      </c>
      <c r="B17" s="2">
        <v>71.593050156082796</v>
      </c>
    </row>
    <row r="18" spans="1:2">
      <c r="A18" s="2">
        <v>120.92725255241299</v>
      </c>
      <c r="B18" s="2">
        <v>62.406348920339099</v>
      </c>
    </row>
    <row r="19" spans="1:2">
      <c r="A19" s="2">
        <v>166.29277580348699</v>
      </c>
      <c r="B19" s="2">
        <v>54.398434299781599</v>
      </c>
    </row>
    <row r="20" spans="1:2">
      <c r="A20" s="2">
        <v>221.13619630930501</v>
      </c>
      <c r="B20" s="2">
        <v>47.418117599839</v>
      </c>
    </row>
    <row r="21" spans="1:2">
      <c r="A21" s="2">
        <v>319.78212951218302</v>
      </c>
      <c r="B21" s="2">
        <v>38.590555604498498</v>
      </c>
    </row>
    <row r="22" spans="1:2">
      <c r="A22" s="2">
        <v>425.24639706285302</v>
      </c>
      <c r="B22" s="2">
        <v>33.179884805514803</v>
      </c>
    </row>
    <row r="23" spans="1:2">
      <c r="A23" s="2">
        <v>565.49282003592396</v>
      </c>
      <c r="B23" s="2">
        <v>29.322220156321599</v>
      </c>
    </row>
    <row r="24" spans="1:2">
      <c r="A24" s="2">
        <v>751.99256647650702</v>
      </c>
      <c r="B24" s="2">
        <v>27.002973849438899</v>
      </c>
    </row>
    <row r="25" spans="1:2">
      <c r="A25" s="2">
        <v>1000</v>
      </c>
      <c r="B25" s="2">
        <v>25.913067508687998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B074-E06E-40B9-97A0-922A446CC5BB}">
  <dimension ref="A1:B27"/>
  <sheetViews>
    <sheetView workbookViewId="0">
      <selection activeCell="W7" sqref="W7"/>
    </sheetView>
  </sheetViews>
  <sheetFormatPr defaultRowHeight="15.6"/>
  <sheetData>
    <row r="1" spans="1:2" ht="15.9" thickBot="1">
      <c r="A1" s="5" t="s">
        <v>16</v>
      </c>
      <c r="B1" s="6" t="s">
        <v>19</v>
      </c>
    </row>
    <row r="2" spans="1:2">
      <c r="A2" s="2">
        <v>1</v>
      </c>
      <c r="B2" s="2">
        <v>154.47807792869301</v>
      </c>
    </row>
    <row r="3" spans="1:2">
      <c r="A3" s="2">
        <v>1.28594786222249</v>
      </c>
      <c r="B3" s="2">
        <v>144.22674821360701</v>
      </c>
    </row>
    <row r="4" spans="1:2">
      <c r="A4" s="2">
        <v>1.85959220012976</v>
      </c>
      <c r="B4" s="2">
        <v>125.719770369027</v>
      </c>
    </row>
    <row r="5" spans="1:2">
      <c r="A5" s="2">
        <v>2.6004507446271998</v>
      </c>
      <c r="B5" s="2">
        <v>109.58761833347801</v>
      </c>
    </row>
    <row r="6" spans="1:2">
      <c r="A6" s="2">
        <v>3.5760026258503799</v>
      </c>
      <c r="B6" s="2">
        <v>91.669872766141495</v>
      </c>
    </row>
    <row r="7" spans="1:2">
      <c r="A7" s="2">
        <v>4.8357817876590303</v>
      </c>
      <c r="B7" s="2">
        <v>75.635802189647606</v>
      </c>
    </row>
    <row r="8" spans="1:2">
      <c r="A8" s="2">
        <v>6.4306141722424703</v>
      </c>
      <c r="B8" s="2">
        <v>62.406348920339099</v>
      </c>
    </row>
    <row r="9" spans="1:2">
      <c r="A9" s="2">
        <v>8.26942793629485</v>
      </c>
      <c r="B9" s="2">
        <v>51.490791029659903</v>
      </c>
    </row>
    <row r="10" spans="1:2">
      <c r="A10" s="2">
        <v>10.4572491510416</v>
      </c>
      <c r="B10" s="2">
        <v>41.905069963671998</v>
      </c>
    </row>
    <row r="11" spans="1:2">
      <c r="A11" s="2">
        <v>13.447466439471199</v>
      </c>
      <c r="B11" s="2">
        <v>32.280939909416297</v>
      </c>
    </row>
    <row r="12" spans="1:2">
      <c r="A12" s="2">
        <v>15.637785418292699</v>
      </c>
      <c r="B12" s="2">
        <v>25.2110195016432</v>
      </c>
    </row>
    <row r="13" spans="1:2">
      <c r="A13" s="2">
        <v>16.722482043255901</v>
      </c>
      <c r="B13" s="2">
        <v>17.8848391952369</v>
      </c>
    </row>
    <row r="14" spans="1:2">
      <c r="A14" s="2">
        <v>17.882445969486</v>
      </c>
      <c r="B14" s="2">
        <v>13.4040556704316</v>
      </c>
    </row>
    <row r="15" spans="1:2">
      <c r="A15" s="2">
        <v>19.4462034091557</v>
      </c>
      <c r="B15" s="2">
        <v>9.7737124311695194</v>
      </c>
    </row>
    <row r="16" spans="1:2">
      <c r="A16" s="2">
        <v>23.384729410636002</v>
      </c>
      <c r="B16" s="2">
        <v>7.6331499453580198</v>
      </c>
    </row>
    <row r="17" spans="1:2">
      <c r="A17" s="2">
        <v>32.157445762051303</v>
      </c>
      <c r="B17" s="2">
        <v>6.8389609078352196</v>
      </c>
    </row>
    <row r="18" spans="1:2">
      <c r="A18" s="2">
        <v>45.729260832000499</v>
      </c>
      <c r="B18" s="2">
        <v>5.7998880730784803</v>
      </c>
    </row>
    <row r="19" spans="1:2">
      <c r="A19" s="2">
        <v>66.128479434553199</v>
      </c>
      <c r="B19" s="2">
        <v>4.9866991836975396</v>
      </c>
    </row>
    <row r="20" spans="1:2">
      <c r="A20" s="2">
        <v>89.424395703719995</v>
      </c>
      <c r="B20" s="2">
        <v>4.5296387272428502</v>
      </c>
    </row>
    <row r="21" spans="1:2">
      <c r="A21" s="2">
        <v>127.165308654743</v>
      </c>
      <c r="B21" s="2">
        <v>4.0583536815059196</v>
      </c>
    </row>
    <row r="22" spans="1:2">
      <c r="A22" s="2">
        <v>174.87130095689901</v>
      </c>
      <c r="B22" s="2">
        <v>3.5865108859025798</v>
      </c>
    </row>
    <row r="23" spans="1:2">
      <c r="A23" s="2">
        <v>244.53974627101701</v>
      </c>
      <c r="B23" s="2">
        <v>3.1262937211927899</v>
      </c>
    </row>
    <row r="24" spans="1:2">
      <c r="A24" s="2">
        <v>341.96398825346802</v>
      </c>
      <c r="B24" s="2">
        <v>2.7251329055945499</v>
      </c>
    </row>
    <row r="25" spans="1:2">
      <c r="A25" s="2">
        <v>470.25158149578999</v>
      </c>
      <c r="B25" s="2">
        <v>2.4753599875749401</v>
      </c>
    </row>
    <row r="26" spans="1:2">
      <c r="A26" s="2">
        <v>657.59905595297698</v>
      </c>
      <c r="B26" s="2">
        <v>2.34304832516926</v>
      </c>
    </row>
    <row r="27" spans="1:2">
      <c r="A27" s="2">
        <v>1000</v>
      </c>
      <c r="B27" s="2">
        <v>2.3110917067245702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21F0-0F8A-4C42-96BD-8560A9532474}">
  <dimension ref="A1:A2"/>
  <sheetViews>
    <sheetView workbookViewId="0">
      <selection activeCell="A3" sqref="A3"/>
    </sheetView>
  </sheetViews>
  <sheetFormatPr defaultRowHeight="15.6"/>
  <sheetData>
    <row r="1" spans="1:1">
      <c r="A1" t="s">
        <v>23</v>
      </c>
    </row>
    <row r="2" spans="1:1">
      <c r="A2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DFDD-1781-449A-A593-AB6D8DF4AD57}">
  <dimension ref="A1:A2"/>
  <sheetViews>
    <sheetView workbookViewId="0">
      <selection activeCell="H9" sqref="H9"/>
    </sheetView>
  </sheetViews>
  <sheetFormatPr defaultRowHeight="15.6"/>
  <sheetData>
    <row r="1" spans="1:1">
      <c r="A1" t="s">
        <v>24</v>
      </c>
    </row>
    <row r="2" spans="1:1">
      <c r="A2">
        <v>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0701A-63D5-4832-BA67-4FD6A75FD0DF}">
  <dimension ref="A1:A2"/>
  <sheetViews>
    <sheetView tabSelected="1" workbookViewId="0">
      <selection activeCell="C2" sqref="C2"/>
    </sheetView>
  </sheetViews>
  <sheetFormatPr defaultRowHeight="15.6"/>
  <sheetData>
    <row r="1" spans="1:1">
      <c r="A1" t="s">
        <v>25</v>
      </c>
    </row>
    <row r="2" spans="1:1">
      <c r="A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Capacitance</vt:lpstr>
      <vt:lpstr>Rds(on)</vt:lpstr>
      <vt:lpstr>Output</vt:lpstr>
      <vt:lpstr>Transfer</vt:lpstr>
      <vt:lpstr>VTH</vt:lpstr>
      <vt:lpstr>body diode</vt:lpstr>
      <vt:lpstr>Rg</vt:lpstr>
      <vt:lpstr>Ciss</vt:lpstr>
      <vt:lpstr>Coss</vt:lpstr>
      <vt:lpstr>Crss</vt:lpstr>
      <vt:lpstr>Eon</vt:lpstr>
      <vt:lpstr>Eoff</vt:lpstr>
      <vt:lpstr>ID_25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兆威 蔡</dc:creator>
  <cp:lastModifiedBy>Tung Nguyen</cp:lastModifiedBy>
  <dcterms:created xsi:type="dcterms:W3CDTF">2025-10-13T09:34:41Z</dcterms:created>
  <dcterms:modified xsi:type="dcterms:W3CDTF">2026-02-10T02:53:47Z</dcterms:modified>
</cp:coreProperties>
</file>