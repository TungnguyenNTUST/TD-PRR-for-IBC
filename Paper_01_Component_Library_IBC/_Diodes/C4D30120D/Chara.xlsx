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\Diodes\C4D30120D\"/>
    </mc:Choice>
  </mc:AlternateContent>
  <xr:revisionPtr revIDLastSave="0" documentId="13_ncr:1_{291F3F9A-885E-46B7-B407-6038E5D663D7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VF" sheetId="1" r:id="rId1"/>
    <sheet name="Rd" sheetId="2" r:id="rId2"/>
    <sheet name="ID" sheetId="3" r:id="rId3"/>
    <sheet name="Qc" sheetId="4" r:id="rId4"/>
    <sheet name="IF_V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C11" i="5"/>
</calcChain>
</file>

<file path=xl/sharedStrings.xml><?xml version="1.0" encoding="utf-8"?>
<sst xmlns="http://schemas.openxmlformats.org/spreadsheetml/2006/main" count="11" uniqueCount="9">
  <si>
    <t>IF</t>
  </si>
  <si>
    <t>QC</t>
  </si>
  <si>
    <t>nC</t>
  </si>
  <si>
    <t>A</t>
  </si>
  <si>
    <t>VF</t>
  </si>
  <si>
    <t>V</t>
  </si>
  <si>
    <t>Rd</t>
  </si>
  <si>
    <t>@100</t>
  </si>
  <si>
    <t>mohm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</si>
</sst>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1" xfId="0" applyFont="1" applyBorder="1" applyAlignment="1">
      <alignment horizontal="center"/>
    </xf>
    <xf numFmtId="0" fontId="0" fillId="0" borderId="0" xfId="0" applyNumberFormat="1"/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IF_VF!$B$1</c:f>
              <c:strCache>
                <c:ptCount val="1"/>
                <c:pt idx="0">
                  <c:v>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IF_VF!$A$2:$A$13</c:f>
              <c:numCache>
                <c:formatCode>General</c:formatCode>
                <c:ptCount val="12"/>
                <c:pt idx="0">
                  <c:v>0</c:v>
                </c:pt>
                <c:pt idx="1">
                  <c:v>0.483912581471037</c:v>
                </c:pt>
                <c:pt idx="2">
                  <c:v>0.80823707563823199</c:v>
                </c:pt>
                <c:pt idx="3">
                  <c:v>0.88288299611146304</c:v>
                </c:pt>
                <c:pt idx="4">
                  <c:v>1.14543119041928</c:v>
                </c:pt>
                <c:pt idx="5">
                  <c:v>1.4929215515577201</c:v>
                </c:pt>
                <c:pt idx="6">
                  <c:v>1.6962679985475599</c:v>
                </c:pt>
                <c:pt idx="7">
                  <c:v>1.9974262329818799</c:v>
                </c:pt>
                <c:pt idx="8">
                  <c:v>2.4967825948465299</c:v>
                </c:pt>
                <c:pt idx="9">
                  <c:v>2.8005149890605998</c:v>
                </c:pt>
              </c:numCache>
            </c:numRef>
          </c:xVal>
          <c:yVal>
            <c:numRef>
              <c:f>IF_VF!$B$2:$B$13</c:f>
              <c:numCache>
                <c:formatCode>0.00E+00</c:formatCode>
                <c:ptCount val="12"/>
                <c:pt idx="0" formatCode="General">
                  <c:v>0</c:v>
                </c:pt>
                <c:pt idx="1">
                  <c:v>1.0000000000000001E-9</c:v>
                </c:pt>
                <c:pt idx="2">
                  <c:v>9.9999999999999995E-7</c:v>
                </c:pt>
                <c:pt idx="3" formatCode="General">
                  <c:v>0.67314879843463205</c:v>
                </c:pt>
                <c:pt idx="4" formatCode="General">
                  <c:v>4.8915486200540297</c:v>
                </c:pt>
                <c:pt idx="5" formatCode="General">
                  <c:v>10.097230264613501</c:v>
                </c:pt>
                <c:pt idx="6" formatCode="General">
                  <c:v>13.238594747786999</c:v>
                </c:pt>
                <c:pt idx="7" formatCode="General">
                  <c:v>17.8608828213236</c:v>
                </c:pt>
                <c:pt idx="8" formatCode="General">
                  <c:v>25.355273119610398</c:v>
                </c:pt>
                <c:pt idx="9" formatCode="General">
                  <c:v>30.0448767577528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37-41DE-8F1D-F6EC4BF6C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053440"/>
        <c:axId val="972053920"/>
      </c:scatterChart>
      <c:valAx>
        <c:axId val="97205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920"/>
        <c:crosses val="autoZero"/>
        <c:crossBetween val="midCat"/>
      </c:valAx>
      <c:valAx>
        <c:axId val="9720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" Type="http://schemas.openxmlformats.org/officeDocument/2006/relationships/customXml" Target="../ink/ink1.xml"/><Relationship Id="rId6" Type="http://schemas.openxmlformats.org/officeDocument/2006/relationships/customXml" Target="../ink/ink3.xml"/><Relationship Id="rId5" Type="http://schemas.openxmlformats.org/officeDocument/2006/relationships/image" Target="../media/image4.png"/><Relationship Id="rId4" Type="http://schemas.openxmlformats.org/officeDocument/2006/relationships/customXml" Target="../ink/ink2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</xdr:colOff>
      <xdr:row>6</xdr:row>
      <xdr:rowOff>73680</xdr:rowOff>
    </xdr:from>
    <xdr:to>
      <xdr:col>18</xdr:col>
      <xdr:colOff>499521</xdr:colOff>
      <xdr:row>22</xdr:row>
      <xdr:rowOff>56719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46C9D8-84C4-D858-E5A1-15F740BB7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" y="1170960"/>
          <a:ext cx="10085481" cy="29091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578880</xdr:colOff>
      <xdr:row>21</xdr:row>
      <xdr:rowOff>72360</xdr:rowOff>
    </xdr:from>
    <xdr:to>
      <xdr:col>9</xdr:col>
      <xdr:colOff>586800</xdr:colOff>
      <xdr:row>21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14:cNvPr>
            <xdr14:cNvContentPartPr/>
          </xdr14:nvContentPartPr>
          <xdr14:nvPr macro=""/>
          <xdr14:xfrm>
            <a:off x="6339600" y="3912840"/>
            <a:ext cx="792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321960" y="3895200"/>
              <a:ext cx="435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532800</xdr:colOff>
      <xdr:row>14</xdr:row>
      <xdr:rowOff>114120</xdr:rowOff>
    </xdr:from>
    <xdr:to>
      <xdr:col>10</xdr:col>
      <xdr:colOff>533880</xdr:colOff>
      <xdr:row>14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14:cNvPr>
            <xdr14:cNvContentPartPr/>
          </xdr14:nvContentPartPr>
          <xdr14:nvPr macro=""/>
          <xdr14:xfrm>
            <a:off x="6933600" y="2674440"/>
            <a:ext cx="108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15600" y="2656440"/>
              <a:ext cx="367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445770</xdr:colOff>
      <xdr:row>10</xdr:row>
      <xdr:rowOff>0</xdr:rowOff>
    </xdr:from>
    <xdr:to>
      <xdr:col>11</xdr:col>
      <xdr:colOff>544830</xdr:colOff>
      <xdr:row>29</xdr:row>
      <xdr:rowOff>133350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C80656E-A048-041C-D875-D332FDBB118A}"/>
            </a:ext>
          </a:extLst>
        </xdr:cNvPr>
        <xdr:cNvCxnSpPr/>
      </xdr:nvCxnSpPr>
      <xdr:spPr>
        <a:xfrm flipH="1">
          <a:off x="5566410" y="1828800"/>
          <a:ext cx="2019300" cy="360807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590400</xdr:colOff>
      <xdr:row>22</xdr:row>
      <xdr:rowOff>18720</xdr:rowOff>
    </xdr:from>
    <xdr:to>
      <xdr:col>9</xdr:col>
      <xdr:colOff>590760</xdr:colOff>
      <xdr:row>22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14:cNvPr>
            <xdr14:cNvContentPartPr/>
          </xdr14:nvContentPartPr>
          <xdr14:nvPr macro=""/>
          <xdr14:xfrm>
            <a:off x="6351120" y="404208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33480" y="4024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533160</xdr:colOff>
      <xdr:row>16</xdr:row>
      <xdr:rowOff>56880</xdr:rowOff>
    </xdr:from>
    <xdr:to>
      <xdr:col>10</xdr:col>
      <xdr:colOff>533520</xdr:colOff>
      <xdr:row>16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14:cNvPr>
            <xdr14:cNvContentPartPr/>
          </xdr14:nvContentPartPr>
          <xdr14:nvPr macro=""/>
          <xdr14:xfrm>
            <a:off x="6933960" y="298296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16320" y="296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35859</xdr:colOff>
      <xdr:row>4</xdr:row>
      <xdr:rowOff>100226</xdr:rowOff>
    </xdr:from>
    <xdr:to>
      <xdr:col>14</xdr:col>
      <xdr:colOff>282984</xdr:colOff>
      <xdr:row>32</xdr:row>
      <xdr:rowOff>147919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3A98A5-B9C6-127E-621F-9F2870F6C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22694" y="835332"/>
          <a:ext cx="4733961" cy="51934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247650</xdr:colOff>
      <xdr:row>9</xdr:row>
      <xdr:rowOff>163830</xdr:rowOff>
    </xdr:from>
    <xdr:to>
      <xdr:col>21</xdr:col>
      <xdr:colOff>286130</xdr:colOff>
      <xdr:row>23</xdr:row>
      <xdr:rowOff>89224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CDFC4D-2C9F-B45D-70BF-727A9A7BA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7810" y="1809750"/>
          <a:ext cx="12200000" cy="24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567690</xdr:colOff>
      <xdr:row>1</xdr:row>
      <xdr:rowOff>181053</xdr:rowOff>
    </xdr:from>
    <xdr:to>
      <xdr:col>16</xdr:col>
      <xdr:colOff>189040</xdr:colOff>
      <xdr:row>23</xdr:row>
      <xdr:rowOff>147911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EBF56A-AF13-8366-FF06-5B2236AAA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" y="363933"/>
          <a:ext cx="8582470" cy="39902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548640</xdr:colOff>
      <xdr:row>4</xdr:row>
      <xdr:rowOff>26670</xdr:rowOff>
    </xdr:from>
    <xdr:to>
      <xdr:col>22</xdr:col>
      <xdr:colOff>0</xdr:colOff>
      <xdr:row>26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A6F17-97EE-5FAA-5323-0DB9A2C6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636270</xdr:colOff>
      <xdr:row>2</xdr:row>
      <xdr:rowOff>30480</xdr:rowOff>
    </xdr:from>
    <xdr:to>
      <xdr:col>12</xdr:col>
      <xdr:colOff>125730</xdr:colOff>
      <xdr:row>26</xdr:row>
      <xdr:rowOff>9168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C4EEDB-82AD-8CE6-2CDD-B5FBD96FD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220" y="396240"/>
          <a:ext cx="4610100" cy="4367808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3:59.60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22 1 24575,'0'0'-8191</inkml:trace>
  <inkml:trace contextRef="#ctx0" brushRef="#br0" timeOffset="797.39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4:02.23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 1 24575,'-2'0'0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5.79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8.95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31" sqref="D31"/>
    </sheetView>
  </sheetViews>
  <sheetFormatPr defaultRowHeight="14.4" x14ac:dyDescent="0.55000000000000004"/>
  <sheetData>
    <row r="1" spans="1:3" x14ac:dyDescent="0.55000000000000004">
      <c r="A1" s="1" t="s">
        <v>4</v>
      </c>
      <c r="B1" s="1">
        <v>1.6</v>
      </c>
      <c r="C1" s="1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713-F410-453D-837B-35A372E54D6F}">
  <dimension ref="A1:D1"/>
  <sheetViews>
    <sheetView zoomScale="85" zoomScaleNormal="85" workbookViewId="0">
      <selection activeCell="D35" sqref="D35"/>
    </sheetView>
  </sheetViews>
  <sheetFormatPr defaultRowHeight="14.4" x14ac:dyDescent="0.55000000000000004"/>
  <sheetData>
    <row r="1" spans="1:4" x14ac:dyDescent="0.55000000000000004">
      <c r="A1" s="1" t="s">
        <v>6</v>
      </c>
      <c r="B1" s="1">
        <f>ROUND(65.2883615020944,1)</f>
        <v>65.3</v>
      </c>
      <c r="C1" s="1" t="s">
        <v>8</v>
      </c>
      <c r="D1" s="2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EF88-CE71-46B0-B852-A0AD48FE1829}">
  <dimension ref="A1:C1"/>
  <sheetViews>
    <sheetView workbookViewId="0">
      <selection activeCell="C27" sqref="C27"/>
    </sheetView>
  </sheetViews>
  <sheetFormatPr defaultRowHeight="14.4" x14ac:dyDescent="0.55000000000000004"/>
  <sheetData>
    <row r="1" spans="1:3" x14ac:dyDescent="0.55000000000000004">
      <c r="A1" s="1" t="s">
        <v>0</v>
      </c>
      <c r="B1" s="1">
        <v>43</v>
      </c>
      <c r="C1" s="1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C204-1871-4182-BAAB-6E69454BB376}">
  <dimension ref="A1:C1"/>
  <sheetViews>
    <sheetView workbookViewId="0">
      <selection activeCell="C28" sqref="C28"/>
    </sheetView>
  </sheetViews>
  <sheetFormatPr defaultRowHeight="14.4" x14ac:dyDescent="0.55000000000000004"/>
  <sheetData>
    <row r="1" spans="1:3" x14ac:dyDescent="0.55000000000000004">
      <c r="A1" s="1" t="s">
        <v>1</v>
      </c>
      <c r="B1" s="1">
        <v>77.5</v>
      </c>
      <c r="C1" s="1" t="s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6E17-57C2-4B7B-BC44-F8D73FE87337}">
  <dimension ref="A1:C13"/>
  <sheetViews>
    <sheetView workbookViewId="0">
      <selection activeCell="C14" sqref="C14"/>
    </sheetView>
  </sheetViews>
  <sheetFormatPr defaultRowHeight="14.4" x14ac:dyDescent="0.55000000000000004"/>
  <cols>
    <col min="1" max="2" width="8.83984375" style="1"/>
    <col min="3" max="3" width="10.05078125" bestFit="1" customWidth="1"/>
  </cols>
  <sheetData>
    <row r="1" spans="1:3" x14ac:dyDescent="0.55000000000000004">
      <c r="A1" s="3" t="s">
        <v>4</v>
      </c>
      <c r="B1" s="3" t="s">
        <v>0</v>
      </c>
    </row>
    <row r="2" spans="1:3" x14ac:dyDescent="0.55000000000000004">
      <c r="A2" s="5">
        <v>0</v>
      </c>
      <c r="B2" s="5">
        <v>0</v>
      </c>
    </row>
    <row r="3" spans="1:3" x14ac:dyDescent="0.55000000000000004">
      <c r="A3" s="5">
        <v>0.483912581471037</v>
      </c>
      <c r="B3" s="6">
        <v>1.0000000000000001E-9</v>
      </c>
    </row>
    <row r="4" spans="1:3" x14ac:dyDescent="0.55000000000000004">
      <c r="A4" s="5">
        <v>0.80823707563823199</v>
      </c>
      <c r="B4" s="6">
        <v>9.9999999999999995E-7</v>
      </c>
    </row>
    <row r="5" spans="1:3" x14ac:dyDescent="0.55000000000000004">
      <c r="A5" s="5">
        <v>0.88288299611146304</v>
      </c>
      <c r="B5" s="5">
        <v>0.67314879843463205</v>
      </c>
    </row>
    <row r="6" spans="1:3" x14ac:dyDescent="0.55000000000000004">
      <c r="A6" s="5">
        <v>1.14543119041928</v>
      </c>
      <c r="B6" s="5">
        <v>4.8915486200540297</v>
      </c>
    </row>
    <row r="7" spans="1:3" x14ac:dyDescent="0.55000000000000004">
      <c r="A7" s="5">
        <v>1.4929215515577201</v>
      </c>
      <c r="B7" s="5">
        <v>10.097230264613501</v>
      </c>
    </row>
    <row r="8" spans="1:3" x14ac:dyDescent="0.55000000000000004">
      <c r="A8" s="5">
        <v>1.6962679985475599</v>
      </c>
      <c r="B8" s="5">
        <v>13.238594747786999</v>
      </c>
    </row>
    <row r="9" spans="1:3" x14ac:dyDescent="0.55000000000000004">
      <c r="A9" s="5">
        <v>1.9974262329818799</v>
      </c>
      <c r="B9" s="5">
        <v>17.8608828213236</v>
      </c>
    </row>
    <row r="10" spans="1:3" x14ac:dyDescent="0.55000000000000004">
      <c r="A10" s="5">
        <v>2.4967825948465299</v>
      </c>
      <c r="B10" s="5">
        <v>25.355273119610398</v>
      </c>
    </row>
    <row r="11" spans="1:3" x14ac:dyDescent="0.55000000000000004">
      <c r="A11" s="5">
        <v>2.8005149890605998</v>
      </c>
      <c r="B11" s="5">
        <v>30.0448767577528</v>
      </c>
      <c r="C11" s="4">
        <f>(A11-A5)*10^3/(B11-B5)</f>
        <v>65.288361502094361</v>
      </c>
    </row>
    <row r="12" spans="1:3" x14ac:dyDescent="0.55000000000000004">
      <c r="A12"/>
      <c r="B12"/>
    </row>
    <row r="13" spans="1:3" x14ac:dyDescent="0.55000000000000004">
      <c r="A13"/>
      <c r="B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VF</vt:lpstr>
      <vt:lpstr>Rd</vt:lpstr>
      <vt:lpstr>ID</vt:lpstr>
      <vt:lpstr>Qc</vt:lpstr>
      <vt:lpstr>IF_VF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Tungtan</cp:lastModifiedBy>
  <dcterms:created xsi:type="dcterms:W3CDTF">2015-06-05T18:17:20Z</dcterms:created>
  <dcterms:modified xsi:type="dcterms:W3CDTF">2026-02-01T13:30:56Z</dcterms:modified>
</cp:coreProperties>
</file>