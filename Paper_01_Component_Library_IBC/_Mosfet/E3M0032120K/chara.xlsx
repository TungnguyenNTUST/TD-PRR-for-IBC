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E3M0032120K\"/>
    </mc:Choice>
  </mc:AlternateContent>
  <xr:revisionPtr revIDLastSave="0" documentId="13_ncr:1_{C7853A14-C634-4D92-AC1C-F96D447CBF71}" xr6:coauthVersionLast="47" xr6:coauthVersionMax="47" xr10:uidLastSave="{00000000-0000-0000-0000-000000000000}"/>
  <bookViews>
    <workbookView xWindow="-96" yWindow="-96" windowWidth="23232" windowHeight="13872" tabRatio="811" activeTab="12" xr2:uid="{1E0CD794-3177-40A9-A113-75F46A9DD563}"/>
  </bookViews>
  <sheets>
    <sheet name="Capacitance" sheetId="1" r:id="rId1"/>
    <sheet name="Rds(on)" sheetId="8" r:id="rId2"/>
    <sheet name="Output" sheetId="4" r:id="rId3"/>
    <sheet name="Rg" sheetId="9" r:id="rId4"/>
    <sheet name="Transfer" sheetId="5" r:id="rId5"/>
    <sheet name="VTH" sheetId="6" r:id="rId6"/>
    <sheet name="body diode" sheetId="7" r:id="rId7"/>
    <sheet name="Ciss" sheetId="10" r:id="rId8"/>
    <sheet name="Coss" sheetId="11" r:id="rId9"/>
    <sheet name="Crss" sheetId="12" r:id="rId10"/>
    <sheet name="Eon" sheetId="13" r:id="rId11"/>
    <sheet name="Eoff" sheetId="14" r:id="rId12"/>
    <sheet name="ID_25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</calcChain>
</file>

<file path=xl/sharedStrings.xml><?xml version="1.0" encoding="utf-8"?>
<sst xmlns="http://schemas.openxmlformats.org/spreadsheetml/2006/main" count="82" uniqueCount="29">
  <si>
    <t>Ciss</t>
    <phoneticPr fontId="3" type="noConversion"/>
  </si>
  <si>
    <t>Coss</t>
    <phoneticPr fontId="3" type="noConversion"/>
  </si>
  <si>
    <t>Crss</t>
    <phoneticPr fontId="3" type="noConversion"/>
  </si>
  <si>
    <t>Rds(on)</t>
  </si>
  <si>
    <t>Vds(V)</t>
    <phoneticPr fontId="3" type="noConversion"/>
  </si>
  <si>
    <t>Ids(A)</t>
    <phoneticPr fontId="3" type="noConversion"/>
  </si>
  <si>
    <t>VGS</t>
  </si>
  <si>
    <t>Rg</t>
    <phoneticPr fontId="3" type="noConversion"/>
  </si>
  <si>
    <t>Vgs(V)</t>
    <phoneticPr fontId="3" type="noConversion"/>
  </si>
  <si>
    <t>Vds</t>
    <phoneticPr fontId="3" type="noConversion"/>
  </si>
  <si>
    <t>VTH</t>
    <phoneticPr fontId="3" type="noConversion"/>
  </si>
  <si>
    <t>Vsd</t>
    <phoneticPr fontId="3" type="noConversion"/>
  </si>
  <si>
    <t>Isd</t>
    <phoneticPr fontId="3" type="noConversion"/>
  </si>
  <si>
    <t>Tj</t>
    <phoneticPr fontId="3" type="noConversion"/>
  </si>
  <si>
    <t>Vds_V</t>
  </si>
  <si>
    <t>Ciss_pF</t>
  </si>
  <si>
    <t>Coss_pF</t>
    <phoneticPr fontId="3" type="noConversion"/>
  </si>
  <si>
    <t>Crss_pF</t>
    <phoneticPr fontId="3" type="noConversion"/>
  </si>
  <si>
    <t>x</t>
  </si>
  <si>
    <t>y</t>
  </si>
  <si>
    <t>20V</t>
  </si>
  <si>
    <t>15V</t>
  </si>
  <si>
    <t>3460pF</t>
  </si>
  <si>
    <t>126pF</t>
  </si>
  <si>
    <t>7pF</t>
  </si>
  <si>
    <t>Eon</t>
  </si>
  <si>
    <t>Eoff</t>
  </si>
  <si>
    <t>32m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</si>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</sst>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Output!$C$2:$C$32</c:f>
              <c:numCache>
                <c:formatCode>General</c:formatCode>
                <c:ptCount val="31"/>
                <c:pt idx="0">
                  <c:v>0</c:v>
                </c:pt>
                <c:pt idx="1">
                  <c:v>0.48902790299999999</c:v>
                </c:pt>
                <c:pt idx="2">
                  <c:v>0.62695921799999998</c:v>
                </c:pt>
                <c:pt idx="3">
                  <c:v>0.76489005399999999</c:v>
                </c:pt>
                <c:pt idx="4">
                  <c:v>0.96551729100000006</c:v>
                </c:pt>
                <c:pt idx="5">
                  <c:v>1.2037615070000001</c:v>
                </c:pt>
                <c:pt idx="6">
                  <c:v>1.4169277360000001</c:v>
                </c:pt>
                <c:pt idx="7">
                  <c:v>1.6551719519999999</c:v>
                </c:pt>
                <c:pt idx="8">
                  <c:v>1.9937305030000001</c:v>
                </c:pt>
                <c:pt idx="9">
                  <c:v>2.2570531840000001</c:v>
                </c:pt>
                <c:pt idx="10">
                  <c:v>2.4952978780000001</c:v>
                </c:pt>
                <c:pt idx="11">
                  <c:v>2.695924636</c:v>
                </c:pt>
                <c:pt idx="12">
                  <c:v>2.8965513939999998</c:v>
                </c:pt>
                <c:pt idx="13">
                  <c:v>3.1724140240000001</c:v>
                </c:pt>
                <c:pt idx="14">
                  <c:v>3.473353683</c:v>
                </c:pt>
                <c:pt idx="15">
                  <c:v>3.7492163129999998</c:v>
                </c:pt>
                <c:pt idx="16">
                  <c:v>4.0125389929999997</c:v>
                </c:pt>
                <c:pt idx="17">
                  <c:v>4.3761755310000003</c:v>
                </c:pt>
                <c:pt idx="18">
                  <c:v>4.6144202249999999</c:v>
                </c:pt>
                <c:pt idx="19">
                  <c:v>4.9153598839999999</c:v>
                </c:pt>
                <c:pt idx="20">
                  <c:v>5.2664574279999998</c:v>
                </c:pt>
                <c:pt idx="21">
                  <c:v>5.6300939659999996</c:v>
                </c:pt>
                <c:pt idx="22">
                  <c:v>5.9310345819999997</c:v>
                </c:pt>
                <c:pt idx="23">
                  <c:v>6.4451409489999998</c:v>
                </c:pt>
                <c:pt idx="24">
                  <c:v>6.8714734079999999</c:v>
                </c:pt>
                <c:pt idx="25">
                  <c:v>7.2100310030000001</c:v>
                </c:pt>
                <c:pt idx="26">
                  <c:v>7.5736675409999998</c:v>
                </c:pt>
                <c:pt idx="27">
                  <c:v>7.9749210570000004</c:v>
                </c:pt>
                <c:pt idx="28">
                  <c:v>8.3260186019999995</c:v>
                </c:pt>
                <c:pt idx="29">
                  <c:v>8.7398111119999999</c:v>
                </c:pt>
              </c:numCache>
            </c:numRef>
          </c:xVal>
          <c:yVal>
            <c:numRef>
              <c:f>Output!$D$2:$D$32</c:f>
              <c:numCache>
                <c:formatCode>General</c:formatCode>
                <c:ptCount val="31"/>
                <c:pt idx="0">
                  <c:v>0</c:v>
                </c:pt>
                <c:pt idx="1">
                  <c:v>14.93001462</c:v>
                </c:pt>
                <c:pt idx="2">
                  <c:v>18.911367039999998</c:v>
                </c:pt>
                <c:pt idx="3">
                  <c:v>22.643870700000001</c:v>
                </c:pt>
                <c:pt idx="4">
                  <c:v>27.37169347</c:v>
                </c:pt>
                <c:pt idx="5">
                  <c:v>33.592523409999998</c:v>
                </c:pt>
                <c:pt idx="6">
                  <c:v>39.813362830000003</c:v>
                </c:pt>
                <c:pt idx="7">
                  <c:v>45.78539146</c:v>
                </c:pt>
                <c:pt idx="8">
                  <c:v>54.743377459999998</c:v>
                </c:pt>
                <c:pt idx="9">
                  <c:v>59.968897759999997</c:v>
                </c:pt>
                <c:pt idx="10">
                  <c:v>65.940907409999994</c:v>
                </c:pt>
                <c:pt idx="11">
                  <c:v>69.922240840000001</c:v>
                </c:pt>
                <c:pt idx="12">
                  <c:v>74.152413550000006</c:v>
                </c:pt>
                <c:pt idx="13">
                  <c:v>79.377924359999994</c:v>
                </c:pt>
                <c:pt idx="14">
                  <c:v>86.34526262</c:v>
                </c:pt>
                <c:pt idx="15">
                  <c:v>91.819603209999997</c:v>
                </c:pt>
                <c:pt idx="16">
                  <c:v>96.796274760000003</c:v>
                </c:pt>
                <c:pt idx="17">
                  <c:v>102.5194451</c:v>
                </c:pt>
                <c:pt idx="18">
                  <c:v>106.99844760000001</c:v>
                </c:pt>
                <c:pt idx="19">
                  <c:v>111.7262846</c:v>
                </c:pt>
                <c:pt idx="20">
                  <c:v>117.4494598</c:v>
                </c:pt>
                <c:pt idx="21">
                  <c:v>122.6749658</c:v>
                </c:pt>
                <c:pt idx="22">
                  <c:v>127.1539588</c:v>
                </c:pt>
                <c:pt idx="23">
                  <c:v>134.37014110000001</c:v>
                </c:pt>
                <c:pt idx="24">
                  <c:v>139.84448169999999</c:v>
                </c:pt>
                <c:pt idx="25">
                  <c:v>143.3281508</c:v>
                </c:pt>
                <c:pt idx="26">
                  <c:v>147.80715330000001</c:v>
                </c:pt>
                <c:pt idx="27">
                  <c:v>152.28616049999999</c:v>
                </c:pt>
                <c:pt idx="28">
                  <c:v>155.52099749999999</c:v>
                </c:pt>
                <c:pt idx="29">
                  <c:v>160.24882980000001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7A6-B593-D2A23B67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216543"/>
        <c:axId val="2129229439"/>
      </c:scatterChart>
      <c:valAx>
        <c:axId val="2129216543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29439"/>
        <c:crosses val="autoZero"/>
        <c:crossBetween val="midCat"/>
      </c:valAx>
      <c:valAx>
        <c:axId val="2129229439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1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Transfer!$C$2:$C$22</c:f>
              <c:numCache>
                <c:formatCode>General</c:formatCode>
                <c:ptCount val="21"/>
                <c:pt idx="0">
                  <c:v>0</c:v>
                </c:pt>
                <c:pt idx="1">
                  <c:v>3.96754084530594</c:v>
                </c:pt>
                <c:pt idx="2">
                  <c:v>4.9987523608019897</c:v>
                </c:pt>
                <c:pt idx="3">
                  <c:v>5.6803990098514001</c:v>
                </c:pt>
                <c:pt idx="4">
                  <c:v>6.2396992757867196</c:v>
                </c:pt>
                <c:pt idx="5">
                  <c:v>6.7290877418924904</c:v>
                </c:pt>
                <c:pt idx="6">
                  <c:v>7.1835203080834802</c:v>
                </c:pt>
                <c:pt idx="7">
                  <c:v>7.6729087741892501</c:v>
                </c:pt>
                <c:pt idx="8">
                  <c:v>8.1273398735555098</c:v>
                </c:pt>
                <c:pt idx="9">
                  <c:v>8.5293378564619804</c:v>
                </c:pt>
                <c:pt idx="10">
                  <c:v>8.8788997892591901</c:v>
                </c:pt>
                <c:pt idx="11">
                  <c:v>9.1935072889663498</c:v>
                </c:pt>
                <c:pt idx="12">
                  <c:v>9.5081133218487892</c:v>
                </c:pt>
                <c:pt idx="13">
                  <c:v>9.8052421381862001</c:v>
                </c:pt>
                <c:pt idx="14">
                  <c:v>10.119849637893299</c:v>
                </c:pt>
                <c:pt idx="15">
                  <c:v>10.4169784542307</c:v>
                </c:pt>
                <c:pt idx="16">
                  <c:v>10.7665403870279</c:v>
                </c:pt>
                <c:pt idx="17">
                  <c:v>11.063669203365301</c:v>
                </c:pt>
                <c:pt idx="18">
                  <c:v>11.378276703072499</c:v>
                </c:pt>
                <c:pt idx="19">
                  <c:v>11.797751902524</c:v>
                </c:pt>
                <c:pt idx="20">
                  <c:v>12.217227101975499</c:v>
                </c:pt>
              </c:numCache>
            </c:numRef>
          </c:xVal>
          <c:yVal>
            <c:numRef>
              <c:f>Transfer!$D$2:$D$22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1.2029811163219899</c:v>
                </c:pt>
                <c:pt idx="3" formatCode="General">
                  <c:v>3.0075095810342298</c:v>
                </c:pt>
                <c:pt idx="4" formatCode="General">
                  <c:v>5.7142581079242998</c:v>
                </c:pt>
                <c:pt idx="5" formatCode="General">
                  <c:v>9.0225539832045794</c:v>
                </c:pt>
                <c:pt idx="6" formatCode="General">
                  <c:v>13.2330573006117</c:v>
                </c:pt>
                <c:pt idx="7" formatCode="General">
                  <c:v>19.248101702782002</c:v>
                </c:pt>
                <c:pt idx="8" formatCode="General">
                  <c:v>26.466165081427199</c:v>
                </c:pt>
                <c:pt idx="9" formatCode="General">
                  <c:v>33.984964274114702</c:v>
                </c:pt>
                <c:pt idx="10" formatCode="General">
                  <c:v>42.1052603349886</c:v>
                </c:pt>
                <c:pt idx="11" formatCode="General">
                  <c:v>50.526317450006701</c:v>
                </c:pt>
                <c:pt idx="12" formatCode="General">
                  <c:v>59.248122999118003</c:v>
                </c:pt>
                <c:pt idx="13" formatCode="General">
                  <c:v>69.172922284602294</c:v>
                </c:pt>
                <c:pt idx="14" formatCode="General">
                  <c:v>79.398495244281605</c:v>
                </c:pt>
                <c:pt idx="15" formatCode="General">
                  <c:v>90.827061940334005</c:v>
                </c:pt>
                <c:pt idx="16" formatCode="General">
                  <c:v>104.36089922516599</c:v>
                </c:pt>
                <c:pt idx="17" formatCode="General">
                  <c:v>115.789465921218</c:v>
                </c:pt>
                <c:pt idx="18" formatCode="General">
                  <c:v>128.72180002783901</c:v>
                </c:pt>
                <c:pt idx="19" formatCode="General">
                  <c:v>144.661653180531</c:v>
                </c:pt>
                <c:pt idx="20" formatCode="General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B-4728-8098-D9EEB7025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80336"/>
        <c:axId val="1545479920"/>
      </c:scatterChart>
      <c:valAx>
        <c:axId val="154548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5479920"/>
        <c:crosses val="autoZero"/>
        <c:crossBetween val="midCat"/>
      </c:valAx>
      <c:valAx>
        <c:axId val="1545479920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548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3930555555555557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'body diode'!$B$1</c:f>
              <c:strCache>
                <c:ptCount val="1"/>
                <c:pt idx="0">
                  <c:v>Isd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diode'!$A$2:$A$29</c:f>
              <c:numCache>
                <c:formatCode>General</c:formatCode>
                <c:ptCount val="28"/>
                <c:pt idx="0">
                  <c:v>0</c:v>
                </c:pt>
                <c:pt idx="1">
                  <c:v>1.8245260480000001</c:v>
                </c:pt>
                <c:pt idx="2">
                  <c:v>2.2432695310000001</c:v>
                </c:pt>
                <c:pt idx="3">
                  <c:v>2.6321032010000001</c:v>
                </c:pt>
                <c:pt idx="4">
                  <c:v>3.13060771</c:v>
                </c:pt>
                <c:pt idx="5">
                  <c:v>3.4596209899999999</c:v>
                </c:pt>
                <c:pt idx="6">
                  <c:v>3.9481555610000001</c:v>
                </c:pt>
                <c:pt idx="7">
                  <c:v>4.4167494960000004</c:v>
                </c:pt>
                <c:pt idx="8">
                  <c:v>4.6959123250000001</c:v>
                </c:pt>
                <c:pt idx="9">
                  <c:v>5.0648053580000001</c:v>
                </c:pt>
                <c:pt idx="10">
                  <c:v>5.3439681869999998</c:v>
                </c:pt>
                <c:pt idx="11">
                  <c:v>5.60319038</c:v>
                </c:pt>
                <c:pt idx="12">
                  <c:v>5.7926222459999996</c:v>
                </c:pt>
                <c:pt idx="13">
                  <c:v>5.9322029000000001</c:v>
                </c:pt>
                <c:pt idx="14">
                  <c:v>6.0618143770000001</c:v>
                </c:pt>
                <c:pt idx="15">
                  <c:v>6.1814551550000001</c:v>
                </c:pt>
                <c:pt idx="16">
                  <c:v>6.2811560560000004</c:v>
                </c:pt>
                <c:pt idx="17">
                  <c:v>6.430707409</c:v>
                </c:pt>
                <c:pt idx="18">
                  <c:v>6.5802587619999997</c:v>
                </c:pt>
                <c:pt idx="19">
                  <c:v>6.7497507519999997</c:v>
                </c:pt>
                <c:pt idx="20">
                  <c:v>6.929211918</c:v>
                </c:pt>
                <c:pt idx="21">
                  <c:v>7.0987039080000001</c:v>
                </c:pt>
                <c:pt idx="22">
                  <c:v>7.2781650750000004</c:v>
                </c:pt>
                <c:pt idx="23">
                  <c:v>7.4277164280000001</c:v>
                </c:pt>
                <c:pt idx="24">
                  <c:v>7.597208417</c:v>
                </c:pt>
                <c:pt idx="25">
                  <c:v>7.7268191330000002</c:v>
                </c:pt>
                <c:pt idx="26">
                  <c:v>7.8564306100000003</c:v>
                </c:pt>
                <c:pt idx="27">
                  <c:v>8.0658023520000004</c:v>
                </c:pt>
              </c:numCache>
            </c:numRef>
          </c:xVal>
          <c:yVal>
            <c:numRef>
              <c:f>'body diode'!$B$2:$B$29</c:f>
              <c:numCache>
                <c:formatCode>0.00E+00</c:formatCode>
                <c:ptCount val="28"/>
                <c:pt idx="0" formatCode="General">
                  <c:v>0</c:v>
                </c:pt>
                <c:pt idx="1">
                  <c:v>1.0000000000000001E-9</c:v>
                </c:pt>
                <c:pt idx="2">
                  <c:v>2.5997053050000001</c:v>
                </c:pt>
                <c:pt idx="3" formatCode="General">
                  <c:v>7.7991159139999997</c:v>
                </c:pt>
                <c:pt idx="4" formatCode="General">
                  <c:v>14.180205839999999</c:v>
                </c:pt>
                <c:pt idx="5" formatCode="General">
                  <c:v>19.37961645</c:v>
                </c:pt>
                <c:pt idx="6" formatCode="General">
                  <c:v>27.651403179999999</c:v>
                </c:pt>
                <c:pt idx="7" formatCode="General">
                  <c:v>36.868545089999998</c:v>
                </c:pt>
                <c:pt idx="8" formatCode="General">
                  <c:v>43.722301330000001</c:v>
                </c:pt>
                <c:pt idx="9" formatCode="General">
                  <c:v>52.230430239999997</c:v>
                </c:pt>
                <c:pt idx="10" formatCode="General">
                  <c:v>60.265874799999999</c:v>
                </c:pt>
                <c:pt idx="11" formatCode="General">
                  <c:v>67.592319889999999</c:v>
                </c:pt>
                <c:pt idx="12" formatCode="General">
                  <c:v>73.737072150000003</c:v>
                </c:pt>
                <c:pt idx="13" formatCode="General">
                  <c:v>77.991132100000002</c:v>
                </c:pt>
                <c:pt idx="14" formatCode="General">
                  <c:v>82.717867380000001</c:v>
                </c:pt>
                <c:pt idx="15" formatCode="General">
                  <c:v>86.499261009999998</c:v>
                </c:pt>
                <c:pt idx="16" formatCode="General">
                  <c:v>90.516978780000002</c:v>
                </c:pt>
                <c:pt idx="17" formatCode="General">
                  <c:v>95.007398929999994</c:v>
                </c:pt>
                <c:pt idx="18" formatCode="General">
                  <c:v>101.15213319999999</c:v>
                </c:pt>
                <c:pt idx="19" formatCode="General">
                  <c:v>106.3515438</c:v>
                </c:pt>
                <c:pt idx="20" formatCode="General">
                  <c:v>112.9689714</c:v>
                </c:pt>
                <c:pt idx="21" formatCode="General">
                  <c:v>119.82275009999999</c:v>
                </c:pt>
                <c:pt idx="22" formatCode="General">
                  <c:v>126.4401687</c:v>
                </c:pt>
                <c:pt idx="23" formatCode="General">
                  <c:v>133.53027159999999</c:v>
                </c:pt>
                <c:pt idx="24" formatCode="General">
                  <c:v>140.3840414</c:v>
                </c:pt>
                <c:pt idx="25" formatCode="General">
                  <c:v>146.5287936</c:v>
                </c:pt>
                <c:pt idx="26" formatCode="General">
                  <c:v>152.4372127</c:v>
                </c:pt>
                <c:pt idx="27" formatCode="General">
                  <c:v>160.47266629999999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C-49FD-A5EE-ACAD64F3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9967"/>
        <c:axId val="93622463"/>
      </c:scatterChart>
      <c:valAx>
        <c:axId val="93619967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22463"/>
        <c:crosses val="autoZero"/>
        <c:crossBetween val="midCat"/>
      </c:valAx>
      <c:valAx>
        <c:axId val="936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Ciss!$A$2:$A$39</c:f>
              <c:numCache>
                <c:formatCode>General</c:formatCode>
                <c:ptCount val="38"/>
                <c:pt idx="0">
                  <c:v>0</c:v>
                </c:pt>
                <c:pt idx="1">
                  <c:v>11.663085959706899</c:v>
                </c:pt>
                <c:pt idx="2">
                  <c:v>54.427652087768102</c:v>
                </c:pt>
                <c:pt idx="3">
                  <c:v>82.937379317981595</c:v>
                </c:pt>
                <c:pt idx="4">
                  <c:v>119.222464231654</c:v>
                </c:pt>
                <c:pt idx="5">
                  <c:v>160.69115389064399</c:v>
                </c:pt>
                <c:pt idx="6">
                  <c:v>202.15979411511699</c:v>
                </c:pt>
                <c:pt idx="7">
                  <c:v>244.92440967769599</c:v>
                </c:pt>
                <c:pt idx="8">
                  <c:v>279.91356868778001</c:v>
                </c:pt>
                <c:pt idx="9">
                  <c:v>334.34127021006702</c:v>
                </c:pt>
                <c:pt idx="10">
                  <c:v>377.10578690360899</c:v>
                </c:pt>
                <c:pt idx="11">
                  <c:v>419.87040246618898</c:v>
                </c:pt>
                <c:pt idx="12">
                  <c:v>460.04316622159098</c:v>
                </c:pt>
                <c:pt idx="13">
                  <c:v>509.28726299855902</c:v>
                </c:pt>
                <c:pt idx="14">
                  <c:v>544.27642200864295</c:v>
                </c:pt>
                <c:pt idx="15">
                  <c:v>588.33691404029298</c:v>
                </c:pt>
                <c:pt idx="16">
                  <c:v>642.76451669354196</c:v>
                </c:pt>
                <c:pt idx="17">
                  <c:v>699.78397115396899</c:v>
                </c:pt>
                <c:pt idx="18">
                  <c:v>751.61982086907801</c:v>
                </c:pt>
                <c:pt idx="19">
                  <c:v>807.34339886043495</c:v>
                </c:pt>
                <c:pt idx="20">
                  <c:v>868.25048272807305</c:v>
                </c:pt>
                <c:pt idx="21">
                  <c:v>934.34117134102996</c:v>
                </c:pt>
                <c:pt idx="22">
                  <c:v>1006.91134116837</c:v>
                </c:pt>
                <c:pt idx="23">
                  <c:v>1049.67595673095</c:v>
                </c:pt>
                <c:pt idx="24">
                  <c:v>1097.62407816981</c:v>
                </c:pt>
                <c:pt idx="25">
                  <c:v>1139.09291613236</c:v>
                </c:pt>
                <c:pt idx="26">
                  <c:v>1196.1122717237499</c:v>
                </c:pt>
              </c:numCache>
            </c:numRef>
          </c:xVal>
          <c:yVal>
            <c:numRef>
              <c:f>Ciss!$B$2:$B$39</c:f>
              <c:numCache>
                <c:formatCode>General</c:formatCode>
                <c:ptCount val="38"/>
                <c:pt idx="0">
                  <c:v>4218.8295575900802</c:v>
                </c:pt>
                <c:pt idx="1">
                  <c:v>3560.0755346782098</c:v>
                </c:pt>
                <c:pt idx="2">
                  <c:v>3560.0755346782098</c:v>
                </c:pt>
                <c:pt idx="3">
                  <c:v>3560.0755346782098</c:v>
                </c:pt>
                <c:pt idx="4">
                  <c:v>3560.0755346782098</c:v>
                </c:pt>
                <c:pt idx="5">
                  <c:v>3560.0755346782098</c:v>
                </c:pt>
                <c:pt idx="6">
                  <c:v>3510.0630122058801</c:v>
                </c:pt>
                <c:pt idx="7">
                  <c:v>3412.1340079542902</c:v>
                </c:pt>
                <c:pt idx="8">
                  <c:v>3610.8016262604101</c:v>
                </c:pt>
                <c:pt idx="9">
                  <c:v>3510.0630122058801</c:v>
                </c:pt>
                <c:pt idx="10">
                  <c:v>3510.0630122058801</c:v>
                </c:pt>
                <c:pt idx="11">
                  <c:v>3560.0755346782098</c:v>
                </c:pt>
                <c:pt idx="12">
                  <c:v>3412.1340079542902</c:v>
                </c:pt>
                <c:pt idx="13">
                  <c:v>3510.0630122058801</c:v>
                </c:pt>
                <c:pt idx="14">
                  <c:v>3560.0755346782098</c:v>
                </c:pt>
                <c:pt idx="15">
                  <c:v>3610.8016262604101</c:v>
                </c:pt>
                <c:pt idx="16">
                  <c:v>3560.0755346782098</c:v>
                </c:pt>
                <c:pt idx="17">
                  <c:v>3560.0755346782098</c:v>
                </c:pt>
                <c:pt idx="18">
                  <c:v>3510.0630122058801</c:v>
                </c:pt>
                <c:pt idx="19">
                  <c:v>3460.75213992712</c:v>
                </c:pt>
                <c:pt idx="20">
                  <c:v>3460.75213992712</c:v>
                </c:pt>
                <c:pt idx="21">
                  <c:v>3510.0630122058801</c:v>
                </c:pt>
                <c:pt idx="22">
                  <c:v>3510.0630122058801</c:v>
                </c:pt>
                <c:pt idx="23">
                  <c:v>3510.0630122058801</c:v>
                </c:pt>
                <c:pt idx="24">
                  <c:v>3560.0755346782098</c:v>
                </c:pt>
                <c:pt idx="25">
                  <c:v>3510.0630122058801</c:v>
                </c:pt>
                <c:pt idx="26">
                  <c:v>3560.0755346782098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FDA-9AAF-5CF13E9F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3311"/>
        <c:axId val="93614559"/>
      </c:scatterChart>
      <c:valAx>
        <c:axId val="9361331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4559"/>
        <c:crosses val="autoZero"/>
        <c:crossBetween val="midCat"/>
      </c:valAx>
      <c:valAx>
        <c:axId val="936145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Coss!$A$2:$A$33</c:f>
              <c:numCache>
                <c:formatCode>General</c:formatCode>
                <c:ptCount val="32"/>
                <c:pt idx="0">
                  <c:v>0</c:v>
                </c:pt>
                <c:pt idx="1">
                  <c:v>7.7754071179774202</c:v>
                </c:pt>
                <c:pt idx="2">
                  <c:v>11.663085959706899</c:v>
                </c:pt>
                <c:pt idx="3">
                  <c:v>22.0302460158249</c:v>
                </c:pt>
                <c:pt idx="4">
                  <c:v>37.581010817261301</c:v>
                </c:pt>
                <c:pt idx="5">
                  <c:v>69.978416889204397</c:v>
                </c:pt>
                <c:pt idx="6">
                  <c:v>104.967625333806</c:v>
                </c:pt>
                <c:pt idx="7">
                  <c:v>164.57888216689199</c:v>
                </c:pt>
                <c:pt idx="8">
                  <c:v>211.231127136683</c:v>
                </c:pt>
                <c:pt idx="9">
                  <c:v>247.516162615837</c:v>
                </c:pt>
                <c:pt idx="10">
                  <c:v>292.87253111655701</c:v>
                </c:pt>
                <c:pt idx="11">
                  <c:v>326.56591252660797</c:v>
                </c:pt>
                <c:pt idx="12">
                  <c:v>366.73867628200998</c:v>
                </c:pt>
                <c:pt idx="13">
                  <c:v>410.79916831366</c:v>
                </c:pt>
                <c:pt idx="14">
                  <c:v>457.45141328344999</c:v>
                </c:pt>
                <c:pt idx="15">
                  <c:v>515.76674421294797</c:v>
                </c:pt>
                <c:pt idx="16">
                  <c:v>568.89847039712697</c:v>
                </c:pt>
                <c:pt idx="17">
                  <c:v>625.917924857554</c:v>
                </c:pt>
                <c:pt idx="18">
                  <c:v>695.89634174675803</c:v>
                </c:pt>
                <c:pt idx="19">
                  <c:v>752.91569733814799</c:v>
                </c:pt>
                <c:pt idx="20">
                  <c:v>808.63927532950504</c:v>
                </c:pt>
                <c:pt idx="21">
                  <c:v>850.10791555397805</c:v>
                </c:pt>
                <c:pt idx="22">
                  <c:v>892.87253111655696</c:v>
                </c:pt>
                <c:pt idx="23">
                  <c:v>940.82065255541795</c:v>
                </c:pt>
                <c:pt idx="24">
                  <c:v>980.99341631081995</c:v>
                </c:pt>
                <c:pt idx="25">
                  <c:v>1015.98277305897</c:v>
                </c:pt>
                <c:pt idx="26">
                  <c:v>1049.67595673095</c:v>
                </c:pt>
                <c:pt idx="27">
                  <c:v>1085.96109107914</c:v>
                </c:pt>
                <c:pt idx="28">
                  <c:v>1119.6544724891901</c:v>
                </c:pt>
                <c:pt idx="29">
                  <c:v>1162.4188903137001</c:v>
                </c:pt>
                <c:pt idx="30">
                  <c:v>1197.40824706185</c:v>
                </c:pt>
              </c:numCache>
            </c:numRef>
          </c:xVal>
          <c:yVal>
            <c:numRef>
              <c:f>Coss!$B$2:$B$33</c:f>
              <c:numCache>
                <c:formatCode>General</c:formatCode>
                <c:ptCount val="32"/>
                <c:pt idx="0">
                  <c:v>2920.3689925737699</c:v>
                </c:pt>
                <c:pt idx="1">
                  <c:v>1567.0548890288601</c:v>
                </c:pt>
                <c:pt idx="2">
                  <c:v>996.46903553362097</c:v>
                </c:pt>
                <c:pt idx="3">
                  <c:v>689.77853193432202</c:v>
                </c:pt>
                <c:pt idx="4">
                  <c:v>484.28355502164999</c:v>
                </c:pt>
                <c:pt idx="5">
                  <c:v>364.93192172614698</c:v>
                </c:pt>
                <c:pt idx="6">
                  <c:v>291.00580587156099</c:v>
                </c:pt>
                <c:pt idx="7">
                  <c:v>235.36167867698799</c:v>
                </c:pt>
                <c:pt idx="8">
                  <c:v>207.222122974608</c:v>
                </c:pt>
                <c:pt idx="9">
                  <c:v>187.68316480946899</c:v>
                </c:pt>
                <c:pt idx="10">
                  <c:v>177.356816703069</c:v>
                </c:pt>
                <c:pt idx="11">
                  <c:v>165.24408334959</c:v>
                </c:pt>
                <c:pt idx="12">
                  <c:v>158.37724534722</c:v>
                </c:pt>
                <c:pt idx="13">
                  <c:v>151.79568186506501</c:v>
                </c:pt>
                <c:pt idx="14">
                  <c:v>141.42866776986199</c:v>
                </c:pt>
                <c:pt idx="15">
                  <c:v>137.482952803285</c:v>
                </c:pt>
                <c:pt idx="16">
                  <c:v>135.55149667374499</c:v>
                </c:pt>
                <c:pt idx="17">
                  <c:v>129.91855569474399</c:v>
                </c:pt>
                <c:pt idx="18">
                  <c:v>128.09343860861401</c:v>
                </c:pt>
                <c:pt idx="19">
                  <c:v>126.293892904148</c:v>
                </c:pt>
                <c:pt idx="20">
                  <c:v>124.519695672808</c:v>
                </c:pt>
                <c:pt idx="21">
                  <c:v>126.293892904148</c:v>
                </c:pt>
                <c:pt idx="22">
                  <c:v>126.293892904148</c:v>
                </c:pt>
                <c:pt idx="23">
                  <c:v>126.293892904148</c:v>
                </c:pt>
                <c:pt idx="24">
                  <c:v>128.09343860861401</c:v>
                </c:pt>
                <c:pt idx="25">
                  <c:v>126.293892904148</c:v>
                </c:pt>
                <c:pt idx="26">
                  <c:v>126.293892904148</c:v>
                </c:pt>
                <c:pt idx="27">
                  <c:v>126.293892904148</c:v>
                </c:pt>
                <c:pt idx="28">
                  <c:v>126.293892904148</c:v>
                </c:pt>
                <c:pt idx="29">
                  <c:v>126.293892904148</c:v>
                </c:pt>
                <c:pt idx="30">
                  <c:v>122.770356394361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E-4D81-B8F8-5725DF07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0191"/>
        <c:axId val="158679359"/>
      </c:scatterChart>
      <c:valAx>
        <c:axId val="1586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79359"/>
        <c:crosses val="autoZero"/>
        <c:crossBetween val="midCat"/>
      </c:valAx>
      <c:valAx>
        <c:axId val="158679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8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Crss_pF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Crss!$B$1:$B$2</c:f>
              <c:strCache>
                <c:ptCount val="2"/>
                <c:pt idx="0">
                  <c:v>Crss_pF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Crss!$A$3:$A$36</c:f>
              <c:numCache>
                <c:formatCode>0.00E+00</c:formatCode>
                <c:ptCount val="34"/>
                <c:pt idx="0" formatCode="General">
                  <c:v>0</c:v>
                </c:pt>
                <c:pt idx="1">
                  <c:v>1.0000000000000001E-9</c:v>
                </c:pt>
                <c:pt idx="2">
                  <c:v>5.1836047450000002</c:v>
                </c:pt>
                <c:pt idx="3" formatCode="General">
                  <c:v>6.4794812139999998</c:v>
                </c:pt>
                <c:pt idx="4" formatCode="General">
                  <c:v>10.36716006</c:v>
                </c:pt>
                <c:pt idx="5" formatCode="General">
                  <c:v>10.36716006</c:v>
                </c:pt>
                <c:pt idx="6" formatCode="General">
                  <c:v>19.438443639999999</c:v>
                </c:pt>
                <c:pt idx="7" formatCode="General">
                  <c:v>34.989208439999999</c:v>
                </c:pt>
                <c:pt idx="8" formatCode="General">
                  <c:v>64.794812140000005</c:v>
                </c:pt>
                <c:pt idx="9" formatCode="General">
                  <c:v>107.55937830000001</c:v>
                </c:pt>
                <c:pt idx="10" formatCode="General">
                  <c:v>143.84446320000001</c:v>
                </c:pt>
                <c:pt idx="11" formatCode="General">
                  <c:v>190.49680699999999</c:v>
                </c:pt>
                <c:pt idx="12" formatCode="General">
                  <c:v>250.1080144</c:v>
                </c:pt>
                <c:pt idx="13" formatCode="General">
                  <c:v>290.28077819999999</c:v>
                </c:pt>
                <c:pt idx="14" formatCode="General">
                  <c:v>352.48383740000003</c:v>
                </c:pt>
                <c:pt idx="15" formatCode="General">
                  <c:v>400.43195880000002</c:v>
                </c:pt>
                <c:pt idx="16" formatCode="General">
                  <c:v>461.33904269999999</c:v>
                </c:pt>
                <c:pt idx="17" formatCode="General">
                  <c:v>524.8379784</c:v>
                </c:pt>
                <c:pt idx="18" formatCode="General">
                  <c:v>577.96970450000003</c:v>
                </c:pt>
                <c:pt idx="19" formatCode="General">
                  <c:v>631.10152960000005</c:v>
                </c:pt>
                <c:pt idx="20" formatCode="General">
                  <c:v>679.04965100000004</c:v>
                </c:pt>
                <c:pt idx="21" formatCode="General">
                  <c:v>712.74293360000001</c:v>
                </c:pt>
                <c:pt idx="22" formatCode="General">
                  <c:v>759.39517860000001</c:v>
                </c:pt>
                <c:pt idx="23" formatCode="General">
                  <c:v>819.00648479999995</c:v>
                </c:pt>
                <c:pt idx="24" formatCode="General">
                  <c:v>857.88337209999997</c:v>
                </c:pt>
                <c:pt idx="25" formatCode="General">
                  <c:v>895.46428409999999</c:v>
                </c:pt>
                <c:pt idx="26" formatCode="General">
                  <c:v>940.82065260000002</c:v>
                </c:pt>
                <c:pt idx="27" formatCode="General">
                  <c:v>983.58536700000002</c:v>
                </c:pt>
                <c:pt idx="28" formatCode="General">
                  <c:v>1019.870304</c:v>
                </c:pt>
                <c:pt idx="29" formatCode="General">
                  <c:v>1080.777585</c:v>
                </c:pt>
                <c:pt idx="30" formatCode="General">
                  <c:v>1140.388694</c:v>
                </c:pt>
                <c:pt idx="31" formatCode="General">
                  <c:v>1176.673828</c:v>
                </c:pt>
                <c:pt idx="32" formatCode="General">
                  <c:v>1201.2957779999999</c:v>
                </c:pt>
              </c:numCache>
            </c:numRef>
          </c:xVal>
          <c:yVal>
            <c:numRef>
              <c:f>Crss!$B$3:$B$36</c:f>
              <c:numCache>
                <c:formatCode>General</c:formatCode>
                <c:ptCount val="34"/>
                <c:pt idx="0">
                  <c:v>1025.0673650000001</c:v>
                </c:pt>
                <c:pt idx="1">
                  <c:v>438.62049560000003</c:v>
                </c:pt>
                <c:pt idx="2">
                  <c:v>172.40865009999999</c:v>
                </c:pt>
                <c:pt idx="3">
                  <c:v>89.932579360000005</c:v>
                </c:pt>
                <c:pt idx="4">
                  <c:v>50.349687590000002</c:v>
                </c:pt>
                <c:pt idx="5">
                  <c:v>34.853198999999996</c:v>
                </c:pt>
                <c:pt idx="6">
                  <c:v>24.818590360000002</c:v>
                </c:pt>
                <c:pt idx="7">
                  <c:v>17.424778910000001</c:v>
                </c:pt>
                <c:pt idx="8">
                  <c:v>13.317537939999999</c:v>
                </c:pt>
                <c:pt idx="9">
                  <c:v>11.23805557</c:v>
                </c:pt>
                <c:pt idx="10">
                  <c:v>9.894447327</c:v>
                </c:pt>
                <c:pt idx="11">
                  <c:v>8.9615006439999991</c:v>
                </c:pt>
                <c:pt idx="12">
                  <c:v>8.468437905</c:v>
                </c:pt>
                <c:pt idx="13">
                  <c:v>7.7792334829999996</c:v>
                </c:pt>
                <c:pt idx="14">
                  <c:v>7.4559617810000001</c:v>
                </c:pt>
                <c:pt idx="15">
                  <c:v>7.1461161559999997</c:v>
                </c:pt>
                <c:pt idx="16">
                  <c:v>6.8491614969999999</c:v>
                </c:pt>
                <c:pt idx="17">
                  <c:v>6.6580661269999997</c:v>
                </c:pt>
                <c:pt idx="18">
                  <c:v>6.381392237</c:v>
                </c:pt>
                <c:pt idx="19">
                  <c:v>6.2917420020000003</c:v>
                </c:pt>
                <c:pt idx="20">
                  <c:v>6.472316395</c:v>
                </c:pt>
                <c:pt idx="21">
                  <c:v>6.472316395</c:v>
                </c:pt>
                <c:pt idx="22">
                  <c:v>6.472316395</c:v>
                </c:pt>
                <c:pt idx="23">
                  <c:v>6.564539613</c:v>
                </c:pt>
                <c:pt idx="24">
                  <c:v>6.6580661269999997</c:v>
                </c:pt>
                <c:pt idx="25">
                  <c:v>6.381392237</c:v>
                </c:pt>
                <c:pt idx="26">
                  <c:v>6.6580661269999997</c:v>
                </c:pt>
                <c:pt idx="27">
                  <c:v>6.6580661269999997</c:v>
                </c:pt>
                <c:pt idx="28">
                  <c:v>6.752939714</c:v>
                </c:pt>
                <c:pt idx="29">
                  <c:v>6.6580661269999997</c:v>
                </c:pt>
                <c:pt idx="30">
                  <c:v>6.8491614969999999</c:v>
                </c:pt>
                <c:pt idx="31">
                  <c:v>6.752939714</c:v>
                </c:pt>
                <c:pt idx="32">
                  <c:v>6.9467505840000001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E-422F-B696-ECA36716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0511"/>
        <c:axId val="100794703"/>
      </c:scatterChart>
      <c:valAx>
        <c:axId val="10081051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94703"/>
        <c:crosses val="autoZero"/>
        <c:crossBetween val="midCat"/>
      </c:valAx>
      <c:valAx>
        <c:axId val="100794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1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71717</xdr:colOff>
      <xdr:row>4</xdr:row>
      <xdr:rowOff>26894</xdr:rowOff>
    </xdr:from>
    <xdr:to>
      <xdr:col>14</xdr:col>
      <xdr:colOff>535368</xdr:colOff>
      <xdr:row>9</xdr:row>
      <xdr:rowOff>88496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8EA26D-F931-7E49-FA61-D91EAE09B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17" y="815788"/>
          <a:ext cx="9876592" cy="1047720"/>
        </a:xfrm>
        <a:prstGeom prst="rect">
          <a:avLst/>
        </a:prstGeom>
      </xdr:spPr>
    </xdr:pic>
    <xdr:clientData/>
  </xdr:twoCellAnchor>
  <xdr:twoCellAnchor>
    <xdr:from>
      <xdr:col>6</xdr:col>
      <xdr:colOff>582706</xdr:colOff>
      <xdr:row>4</xdr:row>
      <xdr:rowOff>91193</xdr:rowOff>
    </xdr:from>
    <xdr:to>
      <xdr:col>9</xdr:col>
      <xdr:colOff>564776</xdr:colOff>
      <xdr:row>9</xdr:row>
      <xdr:rowOff>35859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00F195B3-FE32-4D58-A49C-ED292F5E1D1E}"/>
            </a:ext>
          </a:extLst>
        </xdr:cNvPr>
        <xdr:cNvSpPr/>
      </xdr:nvSpPr>
      <xdr:spPr>
        <a:xfrm>
          <a:off x="4240306" y="915946"/>
          <a:ext cx="1810870" cy="9756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37422</xdr:colOff>
      <xdr:row>4</xdr:row>
      <xdr:rowOff>19879</xdr:rowOff>
    </xdr:from>
    <xdr:to>
      <xdr:col>9</xdr:col>
      <xdr:colOff>358511</xdr:colOff>
      <xdr:row>6</xdr:row>
      <xdr:rowOff>39756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148B28-FA1B-B172-8987-5A74FAAA7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657" y="815009"/>
          <a:ext cx="5674967" cy="417443"/>
        </a:xfrm>
        <a:prstGeom prst="rect">
          <a:avLst/>
        </a:prstGeom>
      </xdr:spPr>
    </xdr:pic>
    <xdr:clientData/>
  </xdr:twoCellAnchor>
  <xdr:twoCellAnchor>
    <xdr:from>
      <xdr:col>5</xdr:col>
      <xdr:colOff>478056</xdr:colOff>
      <xdr:row>4</xdr:row>
      <xdr:rowOff>79514</xdr:rowOff>
    </xdr:from>
    <xdr:to>
      <xdr:col>6</xdr:col>
      <xdr:colOff>463825</xdr:colOff>
      <xdr:row>5</xdr:row>
      <xdr:rowOff>119270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1F9D0BCD-5973-42CF-9DF5-A8345D171152}"/>
            </a:ext>
          </a:extLst>
        </xdr:cNvPr>
        <xdr:cNvSpPr/>
      </xdr:nvSpPr>
      <xdr:spPr>
        <a:xfrm>
          <a:off x="3526056" y="901149"/>
          <a:ext cx="595369" cy="2451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69273</xdr:colOff>
      <xdr:row>8</xdr:row>
      <xdr:rowOff>166255</xdr:rowOff>
    </xdr:from>
    <xdr:to>
      <xdr:col>12</xdr:col>
      <xdr:colOff>15109</xdr:colOff>
      <xdr:row>30</xdr:row>
      <xdr:rowOff>2097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A9206-CDB2-70FD-ACC6-3CDF816D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3" y="1717964"/>
          <a:ext cx="7926054" cy="41030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48667</xdr:colOff>
      <xdr:row>2</xdr:row>
      <xdr:rowOff>0</xdr:rowOff>
    </xdr:from>
    <xdr:to>
      <xdr:col>14</xdr:col>
      <xdr:colOff>424543</xdr:colOff>
      <xdr:row>26</xdr:row>
      <xdr:rowOff>172466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783C9CC-DDC5-0C03-7DC4-889E00D4F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6667" y="413657"/>
          <a:ext cx="5862276" cy="5136352"/>
        </a:xfrm>
        <a:prstGeom prst="rect">
          <a:avLst/>
        </a:prstGeom>
      </xdr:spPr>
    </xdr:pic>
    <xdr:clientData/>
  </xdr:twoCellAnchor>
  <xdr:twoCellAnchor>
    <xdr:from>
      <xdr:col>15</xdr:col>
      <xdr:colOff>419545</xdr:colOff>
      <xdr:row>2</xdr:row>
      <xdr:rowOff>174171</xdr:rowOff>
    </xdr:from>
    <xdr:to>
      <xdr:col>24</xdr:col>
      <xdr:colOff>576942</xdr:colOff>
      <xdr:row>20</xdr:row>
      <xdr:rowOff>87085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97FA0D6-7A1D-4294-B037-84FFC36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533399</xdr:colOff>
      <xdr:row>5</xdr:row>
      <xdr:rowOff>32657</xdr:rowOff>
    </xdr:from>
    <xdr:to>
      <xdr:col>9</xdr:col>
      <xdr:colOff>522514</xdr:colOff>
      <xdr:row>7</xdr:row>
      <xdr:rowOff>130629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21634D39-480D-4993-9021-80BA71DFE645}"/>
            </a:ext>
          </a:extLst>
        </xdr:cNvPr>
        <xdr:cNvCxnSpPr/>
      </xdr:nvCxnSpPr>
      <xdr:spPr>
        <a:xfrm>
          <a:off x="5410199" y="1066800"/>
          <a:ext cx="598715" cy="511629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82062</xdr:colOff>
      <xdr:row>3</xdr:row>
      <xdr:rowOff>99648</xdr:rowOff>
    </xdr:from>
    <xdr:to>
      <xdr:col>10</xdr:col>
      <xdr:colOff>212961</xdr:colOff>
      <xdr:row>5</xdr:row>
      <xdr:rowOff>20057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46C2D6-DE69-0AEC-9270-3A0C0239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277" y="697525"/>
          <a:ext cx="6144838" cy="318994"/>
        </a:xfrm>
        <a:prstGeom prst="rect">
          <a:avLst/>
        </a:prstGeom>
      </xdr:spPr>
    </xdr:pic>
    <xdr:clientData/>
  </xdr:twoCellAnchor>
  <xdr:twoCellAnchor>
    <xdr:from>
      <xdr:col>5</xdr:col>
      <xdr:colOff>183012</xdr:colOff>
      <xdr:row>3</xdr:row>
      <xdr:rowOff>164123</xdr:rowOff>
    </xdr:from>
    <xdr:to>
      <xdr:col>6</xdr:col>
      <xdr:colOff>246184</xdr:colOff>
      <xdr:row>4</xdr:row>
      <xdr:rowOff>128954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396849D5-32E0-4A4A-91EA-A16B0350CDE8}"/>
            </a:ext>
          </a:extLst>
        </xdr:cNvPr>
        <xdr:cNvSpPr/>
      </xdr:nvSpPr>
      <xdr:spPr>
        <a:xfrm>
          <a:off x="3524089" y="762000"/>
          <a:ext cx="731387" cy="16412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659078</xdr:colOff>
      <xdr:row>4</xdr:row>
      <xdr:rowOff>108858</xdr:rowOff>
    </xdr:from>
    <xdr:to>
      <xdr:col>10</xdr:col>
      <xdr:colOff>503069</xdr:colOff>
      <xdr:row>19</xdr:row>
      <xdr:rowOff>174172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023989-D34F-9FFD-8D5B-ECF004C3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8735" y="892629"/>
          <a:ext cx="3893477" cy="3004457"/>
        </a:xfrm>
        <a:prstGeom prst="rect">
          <a:avLst/>
        </a:prstGeom>
      </xdr:spPr>
    </xdr:pic>
    <xdr:clientData/>
  </xdr:twoCellAnchor>
  <xdr:twoCellAnchor>
    <xdr:from>
      <xdr:col>8</xdr:col>
      <xdr:colOff>593180</xdr:colOff>
      <xdr:row>7</xdr:row>
      <xdr:rowOff>156210</xdr:rowOff>
    </xdr:from>
    <xdr:to>
      <xdr:col>9</xdr:col>
      <xdr:colOff>270111</xdr:colOff>
      <xdr:row>9</xdr:row>
      <xdr:rowOff>35151</xdr:rowOff>
    </xdr:to>
    <xdr:cxnSp macro="">
      <xdr:nvCxnSpPr>
        <xdr:cNvPr id="3" name="直線單箭頭接點 6">
          <a:extLst>
            <a:ext uri="{FF2B5EF4-FFF2-40B4-BE49-F238E27FC236}">
              <a16:creationId xmlns:a16="http://schemas.microsoft.com/office/drawing/2014/main" id="{14EDFEB5-422C-4F07-A802-B4920B8B3740}"/>
            </a:ext>
          </a:extLst>
        </xdr:cNvPr>
        <xdr:cNvCxnSpPr/>
      </xdr:nvCxnSpPr>
      <xdr:spPr>
        <a:xfrm>
          <a:off x="5469980" y="1596390"/>
          <a:ext cx="286531" cy="290421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555171</xdr:colOff>
      <xdr:row>4</xdr:row>
      <xdr:rowOff>70758</xdr:rowOff>
    </xdr:from>
    <xdr:to>
      <xdr:col>19</xdr:col>
      <xdr:colOff>250371</xdr:colOff>
      <xdr:row>17</xdr:row>
      <xdr:rowOff>125186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666A253-E123-4808-BE85-E78C4EE67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672352</xdr:colOff>
      <xdr:row>3</xdr:row>
      <xdr:rowOff>98611</xdr:rowOff>
    </xdr:from>
    <xdr:to>
      <xdr:col>11</xdr:col>
      <xdr:colOff>315722</xdr:colOff>
      <xdr:row>5</xdr:row>
      <xdr:rowOff>196721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87E567-A0B5-6C11-F863-B275D20CB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2" y="690282"/>
          <a:ext cx="7039252" cy="492557"/>
        </a:xfrm>
        <a:prstGeom prst="rect">
          <a:avLst/>
        </a:prstGeom>
      </xdr:spPr>
    </xdr:pic>
    <xdr:clientData/>
  </xdr:twoCellAnchor>
  <xdr:twoCellAnchor>
    <xdr:from>
      <xdr:col>6</xdr:col>
      <xdr:colOff>564776</xdr:colOff>
      <xdr:row>3</xdr:row>
      <xdr:rowOff>152401</xdr:rowOff>
    </xdr:from>
    <xdr:to>
      <xdr:col>7</xdr:col>
      <xdr:colOff>277905</xdr:colOff>
      <xdr:row>4</xdr:row>
      <xdr:rowOff>161366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97B78007-EBFC-40F5-B662-85BA52B7775A}"/>
            </a:ext>
          </a:extLst>
        </xdr:cNvPr>
        <xdr:cNvSpPr/>
      </xdr:nvSpPr>
      <xdr:spPr>
        <a:xfrm>
          <a:off x="4598894" y="744072"/>
          <a:ext cx="385482" cy="2061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538672</xdr:colOff>
      <xdr:row>0</xdr:row>
      <xdr:rowOff>108858</xdr:rowOff>
    </xdr:from>
    <xdr:to>
      <xdr:col>9</xdr:col>
      <xdr:colOff>317</xdr:colOff>
      <xdr:row>16</xdr:row>
      <xdr:rowOff>87086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2A4970-7C73-EC6B-5BD4-99BC454F5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8501" y="108858"/>
          <a:ext cx="4120730" cy="3113314"/>
        </a:xfrm>
        <a:prstGeom prst="rect">
          <a:avLst/>
        </a:prstGeom>
      </xdr:spPr>
    </xdr:pic>
    <xdr:clientData/>
  </xdr:twoCellAnchor>
  <xdr:twoCellAnchor>
    <xdr:from>
      <xdr:col>8</xdr:col>
      <xdr:colOff>612025</xdr:colOff>
      <xdr:row>0</xdr:row>
      <xdr:rowOff>133695</xdr:rowOff>
    </xdr:from>
    <xdr:to>
      <xdr:col>21</xdr:col>
      <xdr:colOff>337457</xdr:colOff>
      <xdr:row>19</xdr:row>
      <xdr:rowOff>141514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FFF4C9-E784-4E7B-A69A-29FF0186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596095</xdr:colOff>
      <xdr:row>6</xdr:row>
      <xdr:rowOff>102623</xdr:rowOff>
    </xdr:from>
    <xdr:to>
      <xdr:col>6</xdr:col>
      <xdr:colOff>626575</xdr:colOff>
      <xdr:row>8</xdr:row>
      <xdr:rowOff>163581</xdr:rowOff>
    </xdr:to>
    <xdr:cxnSp macro="">
      <xdr:nvCxnSpPr>
        <xdr:cNvPr id="5" name="直線單箭頭接點 5">
          <a:extLst>
            <a:ext uri="{FF2B5EF4-FFF2-40B4-BE49-F238E27FC236}">
              <a16:creationId xmlns:a16="http://schemas.microsoft.com/office/drawing/2014/main" id="{485D98DC-7241-4CB2-9CBC-07482E923DAD}"/>
            </a:ext>
          </a:extLst>
        </xdr:cNvPr>
        <xdr:cNvCxnSpPr/>
      </xdr:nvCxnSpPr>
      <xdr:spPr>
        <a:xfrm flipH="1" flipV="1">
          <a:off x="3970666" y="1278280"/>
          <a:ext cx="705395" cy="452844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138032</xdr:colOff>
      <xdr:row>1</xdr:row>
      <xdr:rowOff>17930</xdr:rowOff>
    </xdr:from>
    <xdr:to>
      <xdr:col>7</xdr:col>
      <xdr:colOff>611649</xdr:colOff>
      <xdr:row>16</xdr:row>
      <xdr:rowOff>62753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C90361-F6E9-AA2D-59B0-B66CA9130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38" y="224118"/>
          <a:ext cx="3835382" cy="3003176"/>
        </a:xfrm>
        <a:prstGeom prst="rect">
          <a:avLst/>
        </a:prstGeom>
      </xdr:spPr>
    </xdr:pic>
    <xdr:clientData/>
  </xdr:twoCellAnchor>
  <xdr:twoCellAnchor>
    <xdr:from>
      <xdr:col>7</xdr:col>
      <xdr:colOff>631916</xdr:colOff>
      <xdr:row>1</xdr:row>
      <xdr:rowOff>4353</xdr:rowOff>
    </xdr:from>
    <xdr:to>
      <xdr:col>15</xdr:col>
      <xdr:colOff>327116</xdr:colOff>
      <xdr:row>14</xdr:row>
      <xdr:rowOff>72933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D31B7-9548-4AD3-A056-EF835666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451772</xdr:colOff>
      <xdr:row>3</xdr:row>
      <xdr:rowOff>27234</xdr:rowOff>
    </xdr:from>
    <xdr:to>
      <xdr:col>5</xdr:col>
      <xdr:colOff>201825</xdr:colOff>
      <xdr:row>5</xdr:row>
      <xdr:rowOff>163089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100F2B3-5C06-48F4-806E-0DA64DDF49D0}"/>
            </a:ext>
          </a:extLst>
        </xdr:cNvPr>
        <xdr:cNvCxnSpPr/>
      </xdr:nvCxnSpPr>
      <xdr:spPr>
        <a:xfrm flipV="1">
          <a:off x="2890172" y="650086"/>
          <a:ext cx="359653" cy="546673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87085</xdr:colOff>
      <xdr:row>2</xdr:row>
      <xdr:rowOff>21772</xdr:rowOff>
    </xdr:from>
    <xdr:to>
      <xdr:col>7</xdr:col>
      <xdr:colOff>547896</xdr:colOff>
      <xdr:row>17</xdr:row>
      <xdr:rowOff>85805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6EFD47-1FE0-4AE3-90C7-77D7EF34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6914" y="424543"/>
          <a:ext cx="3835382" cy="3003176"/>
        </a:xfrm>
        <a:prstGeom prst="rect">
          <a:avLst/>
        </a:prstGeom>
      </xdr:spPr>
    </xdr:pic>
    <xdr:clientData/>
  </xdr:twoCellAnchor>
  <xdr:twoCellAnchor>
    <xdr:from>
      <xdr:col>8</xdr:col>
      <xdr:colOff>16973</xdr:colOff>
      <xdr:row>2</xdr:row>
      <xdr:rowOff>137852</xdr:rowOff>
    </xdr:from>
    <xdr:to>
      <xdr:col>15</xdr:col>
      <xdr:colOff>321772</xdr:colOff>
      <xdr:row>16</xdr:row>
      <xdr:rowOff>12468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D1C44DB-ACC1-46AC-BA09-081F0440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529615</xdr:colOff>
      <xdr:row>7</xdr:row>
      <xdr:rowOff>202545</xdr:rowOff>
    </xdr:from>
    <xdr:to>
      <xdr:col>5</xdr:col>
      <xdr:colOff>277107</xdr:colOff>
      <xdr:row>10</xdr:row>
      <xdr:rowOff>122109</xdr:rowOff>
    </xdr:to>
    <xdr:cxnSp macro="">
      <xdr:nvCxnSpPr>
        <xdr:cNvPr id="8" name="直線單箭頭接點 3">
          <a:extLst>
            <a:ext uri="{FF2B5EF4-FFF2-40B4-BE49-F238E27FC236}">
              <a16:creationId xmlns:a16="http://schemas.microsoft.com/office/drawing/2014/main" id="{4CAAA8C0-9D33-4DC2-BE9D-FA7560B41492}"/>
            </a:ext>
          </a:extLst>
        </xdr:cNvPr>
        <xdr:cNvCxnSpPr/>
      </xdr:nvCxnSpPr>
      <xdr:spPr>
        <a:xfrm flipV="1">
          <a:off x="2968015" y="1661231"/>
          <a:ext cx="357092" cy="540049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217714</xdr:colOff>
      <xdr:row>2</xdr:row>
      <xdr:rowOff>76201</xdr:rowOff>
    </xdr:from>
    <xdr:to>
      <xdr:col>8</xdr:col>
      <xdr:colOff>3611</xdr:colOff>
      <xdr:row>17</xdr:row>
      <xdr:rowOff>140234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67A564-9981-493D-B0C6-93E9A2307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543" y="478972"/>
          <a:ext cx="3835382" cy="3003176"/>
        </a:xfrm>
        <a:prstGeom prst="rect">
          <a:avLst/>
        </a:prstGeom>
      </xdr:spPr>
    </xdr:pic>
    <xdr:clientData/>
  </xdr:twoCellAnchor>
  <xdr:twoCellAnchor>
    <xdr:from>
      <xdr:col>8</xdr:col>
      <xdr:colOff>107224</xdr:colOff>
      <xdr:row>2</xdr:row>
      <xdr:rowOff>104503</xdr:rowOff>
    </xdr:from>
    <xdr:to>
      <xdr:col>15</xdr:col>
      <xdr:colOff>477338</xdr:colOff>
      <xdr:row>15</xdr:row>
      <xdr:rowOff>173082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49AC935-3878-49AA-9E63-E90493EC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507842</xdr:colOff>
      <xdr:row>11</xdr:row>
      <xdr:rowOff>180776</xdr:rowOff>
    </xdr:from>
    <xdr:to>
      <xdr:col>5</xdr:col>
      <xdr:colOff>255334</xdr:colOff>
      <xdr:row>14</xdr:row>
      <xdr:rowOff>111224</xdr:rowOff>
    </xdr:to>
    <xdr:cxnSp macro="">
      <xdr:nvCxnSpPr>
        <xdr:cNvPr id="10" name="直線單箭頭接點 3">
          <a:extLst>
            <a:ext uri="{FF2B5EF4-FFF2-40B4-BE49-F238E27FC236}">
              <a16:creationId xmlns:a16="http://schemas.microsoft.com/office/drawing/2014/main" id="{C978E647-61AF-4E8A-943C-4AC8A0BF845C}"/>
            </a:ext>
          </a:extLst>
        </xdr:cNvPr>
        <xdr:cNvCxnSpPr/>
      </xdr:nvCxnSpPr>
      <xdr:spPr>
        <a:xfrm flipV="1">
          <a:off x="3207499" y="2347033"/>
          <a:ext cx="422406" cy="518277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E3A-DEF0-4C97-A1E0-FD7371547529}">
  <dimension ref="A1:H2"/>
  <sheetViews>
    <sheetView zoomScale="85" zoomScaleNormal="85" workbookViewId="0">
      <selection activeCell="I15" sqref="I15"/>
    </sheetView>
  </sheetViews>
  <sheetFormatPr defaultRowHeight="15.6"/>
  <sheetData>
    <row r="1" spans="1:8">
      <c r="A1" s="2" t="s">
        <v>0</v>
      </c>
      <c r="B1" s="2" t="s">
        <v>1</v>
      </c>
      <c r="C1" s="3" t="s">
        <v>2</v>
      </c>
      <c r="D1" s="1"/>
      <c r="E1" s="1"/>
      <c r="G1" s="1"/>
      <c r="H1" s="1"/>
    </row>
    <row r="2" spans="1:8">
      <c r="A2" s="3" t="s">
        <v>22</v>
      </c>
      <c r="B2" s="3" t="s">
        <v>23</v>
      </c>
      <c r="C2" s="3" t="s">
        <v>24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C8"/>
  <sheetViews>
    <sheetView zoomScale="85" zoomScaleNormal="85" workbookViewId="0">
      <selection activeCell="C3" sqref="C3"/>
    </sheetView>
  </sheetViews>
  <sheetFormatPr defaultRowHeight="15.6"/>
  <sheetData>
    <row r="1" spans="1:3">
      <c r="A1" s="3" t="s">
        <v>3</v>
      </c>
      <c r="B1" s="3"/>
      <c r="C1" s="3"/>
    </row>
    <row r="2" spans="1:3">
      <c r="A2" s="3" t="s">
        <v>27</v>
      </c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8" spans="1:3">
      <c r="A8" s="3" t="s">
        <v>3</v>
      </c>
      <c r="B8">
        <f>0.4890735/10.42985</f>
        <v>4.6891709852011292E-2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9A6-B6D1-4621-85A4-6F464AD37E92}">
  <dimension ref="C1:E32"/>
  <sheetViews>
    <sheetView zoomScale="70" zoomScaleNormal="70" workbookViewId="0">
      <selection activeCell="C5" sqref="C5"/>
    </sheetView>
  </sheetViews>
  <sheetFormatPr defaultRowHeight="15.6"/>
  <sheetData>
    <row r="1" spans="3:5">
      <c r="C1" s="3" t="s">
        <v>4</v>
      </c>
      <c r="D1" s="3" t="s">
        <v>5</v>
      </c>
      <c r="E1" s="3" t="s">
        <v>6</v>
      </c>
    </row>
    <row r="2" spans="3:5">
      <c r="C2" s="7">
        <v>0</v>
      </c>
      <c r="D2" s="7">
        <v>0</v>
      </c>
      <c r="E2" s="3" t="s">
        <v>21</v>
      </c>
    </row>
    <row r="3" spans="3:5">
      <c r="C3" s="7">
        <v>0.48902790299999999</v>
      </c>
      <c r="D3" s="7">
        <v>14.93001462</v>
      </c>
      <c r="E3" s="3" t="s">
        <v>21</v>
      </c>
    </row>
    <row r="4" spans="3:5">
      <c r="C4" s="7">
        <v>0.62695921799999998</v>
      </c>
      <c r="D4" s="7">
        <v>18.911367039999998</v>
      </c>
      <c r="E4" s="3" t="s">
        <v>21</v>
      </c>
    </row>
    <row r="5" spans="3:5">
      <c r="C5" s="7">
        <v>0.76489005399999999</v>
      </c>
      <c r="D5" s="7">
        <v>22.643870700000001</v>
      </c>
      <c r="E5" s="3" t="s">
        <v>21</v>
      </c>
    </row>
    <row r="6" spans="3:5">
      <c r="C6" s="7">
        <v>0.96551729100000006</v>
      </c>
      <c r="D6" s="7">
        <v>27.37169347</v>
      </c>
      <c r="E6" s="3" t="s">
        <v>21</v>
      </c>
    </row>
    <row r="7" spans="3:5">
      <c r="C7" s="7">
        <v>1.2037615070000001</v>
      </c>
      <c r="D7" s="7">
        <v>33.592523409999998</v>
      </c>
      <c r="E7" s="3" t="s">
        <v>21</v>
      </c>
    </row>
    <row r="8" spans="3:5">
      <c r="C8" s="7">
        <v>1.4169277360000001</v>
      </c>
      <c r="D8" s="7">
        <v>39.813362830000003</v>
      </c>
      <c r="E8" s="3" t="s">
        <v>21</v>
      </c>
    </row>
    <row r="9" spans="3:5">
      <c r="C9" s="7">
        <v>1.6551719519999999</v>
      </c>
      <c r="D9" s="7">
        <v>45.78539146</v>
      </c>
      <c r="E9" s="3" t="s">
        <v>21</v>
      </c>
    </row>
    <row r="10" spans="3:5">
      <c r="C10" s="7">
        <v>1.9937305030000001</v>
      </c>
      <c r="D10" s="7">
        <v>54.743377459999998</v>
      </c>
      <c r="E10" s="3" t="s">
        <v>21</v>
      </c>
    </row>
    <row r="11" spans="3:5">
      <c r="C11" s="7">
        <v>2.2570531840000001</v>
      </c>
      <c r="D11" s="7">
        <v>59.968897759999997</v>
      </c>
      <c r="E11" s="3" t="s">
        <v>21</v>
      </c>
    </row>
    <row r="12" spans="3:5">
      <c r="C12" s="7">
        <v>2.4952978780000001</v>
      </c>
      <c r="D12" s="7">
        <v>65.940907409999994</v>
      </c>
      <c r="E12" s="3" t="s">
        <v>21</v>
      </c>
    </row>
    <row r="13" spans="3:5">
      <c r="C13" s="7">
        <v>2.695924636</v>
      </c>
      <c r="D13" s="7">
        <v>69.922240840000001</v>
      </c>
      <c r="E13" s="3" t="s">
        <v>21</v>
      </c>
    </row>
    <row r="14" spans="3:5">
      <c r="C14" s="7">
        <v>2.8965513939999998</v>
      </c>
      <c r="D14" s="7">
        <v>74.152413550000006</v>
      </c>
      <c r="E14" s="3" t="s">
        <v>21</v>
      </c>
    </row>
    <row r="15" spans="3:5">
      <c r="C15" s="7">
        <v>3.1724140240000001</v>
      </c>
      <c r="D15" s="7">
        <v>79.377924359999994</v>
      </c>
      <c r="E15" s="3" t="s">
        <v>21</v>
      </c>
    </row>
    <row r="16" spans="3:5">
      <c r="C16" s="7">
        <v>3.473353683</v>
      </c>
      <c r="D16" s="7">
        <v>86.34526262</v>
      </c>
      <c r="E16" s="3" t="s">
        <v>21</v>
      </c>
    </row>
    <row r="17" spans="3:5">
      <c r="C17" s="7">
        <v>3.7492163129999998</v>
      </c>
      <c r="D17" s="7">
        <v>91.819603209999997</v>
      </c>
      <c r="E17" s="3" t="s">
        <v>21</v>
      </c>
    </row>
    <row r="18" spans="3:5">
      <c r="C18" s="7">
        <v>4.0125389929999997</v>
      </c>
      <c r="D18" s="7">
        <v>96.796274760000003</v>
      </c>
      <c r="E18" s="3" t="s">
        <v>21</v>
      </c>
    </row>
    <row r="19" spans="3:5">
      <c r="C19" s="7">
        <v>4.3761755310000003</v>
      </c>
      <c r="D19" s="7">
        <v>102.5194451</v>
      </c>
      <c r="E19" s="3" t="s">
        <v>21</v>
      </c>
    </row>
    <row r="20" spans="3:5">
      <c r="C20" s="7">
        <v>4.6144202249999999</v>
      </c>
      <c r="D20" s="7">
        <v>106.99844760000001</v>
      </c>
      <c r="E20" s="3" t="s">
        <v>21</v>
      </c>
    </row>
    <row r="21" spans="3:5">
      <c r="C21" s="7">
        <v>4.9153598839999999</v>
      </c>
      <c r="D21" s="7">
        <v>111.7262846</v>
      </c>
      <c r="E21" s="3" t="s">
        <v>21</v>
      </c>
    </row>
    <row r="22" spans="3:5">
      <c r="C22" s="7">
        <v>5.2664574279999998</v>
      </c>
      <c r="D22" s="7">
        <v>117.4494598</v>
      </c>
      <c r="E22" s="3" t="s">
        <v>21</v>
      </c>
    </row>
    <row r="23" spans="3:5">
      <c r="C23" s="7">
        <v>5.6300939659999996</v>
      </c>
      <c r="D23" s="7">
        <v>122.6749658</v>
      </c>
      <c r="E23" s="3" t="s">
        <v>21</v>
      </c>
    </row>
    <row r="24" spans="3:5">
      <c r="C24" s="7">
        <v>5.9310345819999997</v>
      </c>
      <c r="D24" s="7">
        <v>127.1539588</v>
      </c>
      <c r="E24" s="3" t="s">
        <v>21</v>
      </c>
    </row>
    <row r="25" spans="3:5">
      <c r="C25" s="3">
        <v>6.4451409489999998</v>
      </c>
      <c r="D25" s="3">
        <v>134.37014110000001</v>
      </c>
      <c r="E25" s="3" t="s">
        <v>21</v>
      </c>
    </row>
    <row r="26" spans="3:5">
      <c r="C26" s="3">
        <v>6.8714734079999999</v>
      </c>
      <c r="D26" s="3">
        <v>139.84448169999999</v>
      </c>
      <c r="E26" s="3" t="s">
        <v>21</v>
      </c>
    </row>
    <row r="27" spans="3:5">
      <c r="C27" s="3">
        <v>7.2100310030000001</v>
      </c>
      <c r="D27" s="3">
        <v>143.3281508</v>
      </c>
      <c r="E27" s="3" t="s">
        <v>21</v>
      </c>
    </row>
    <row r="28" spans="3:5">
      <c r="C28" s="3">
        <v>7.5736675409999998</v>
      </c>
      <c r="D28" s="3">
        <v>147.80715330000001</v>
      </c>
      <c r="E28" s="3" t="s">
        <v>21</v>
      </c>
    </row>
    <row r="29" spans="3:5">
      <c r="C29" s="3">
        <v>7.9749210570000004</v>
      </c>
      <c r="D29" s="3">
        <v>152.28616049999999</v>
      </c>
      <c r="E29" s="3" t="s">
        <v>21</v>
      </c>
    </row>
    <row r="30" spans="3:5">
      <c r="C30" s="3">
        <v>8.3260186019999995</v>
      </c>
      <c r="D30" s="3">
        <v>155.52099749999999</v>
      </c>
      <c r="E30" s="3" t="s">
        <v>21</v>
      </c>
    </row>
    <row r="31" spans="3:5">
      <c r="C31" s="3">
        <v>8.7398111119999999</v>
      </c>
      <c r="D31" s="3">
        <v>160.24882980000001</v>
      </c>
      <c r="E31" s="3" t="s">
        <v>21</v>
      </c>
    </row>
    <row r="32" spans="3:5">
      <c r="E32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3A8-4287-421F-B1D0-FD11C5C67EE6}">
  <dimension ref="A1:B5"/>
  <sheetViews>
    <sheetView zoomScale="130" zoomScaleNormal="130" workbookViewId="0">
      <selection activeCell="E11" sqref="E11"/>
    </sheetView>
  </sheetViews>
  <sheetFormatPr defaultRowHeight="15.6"/>
  <sheetData>
    <row r="1" spans="1:2">
      <c r="A1" s="3" t="s">
        <v>7</v>
      </c>
      <c r="B1" s="3"/>
    </row>
    <row r="2" spans="1:2">
      <c r="A2" s="3">
        <v>1.9</v>
      </c>
      <c r="B2" s="3"/>
    </row>
    <row r="3" spans="1:2">
      <c r="A3" s="3"/>
      <c r="B3" s="3"/>
    </row>
    <row r="4" spans="1:2">
      <c r="A4" s="3"/>
      <c r="B4" s="3"/>
    </row>
    <row r="5" spans="1:2">
      <c r="A5" s="3"/>
      <c r="B5" s="3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521-2324-454D-B6F2-618BE3299634}">
  <dimension ref="C1:E30"/>
  <sheetViews>
    <sheetView zoomScaleNormal="100" workbookViewId="0">
      <selection activeCell="Q22" sqref="Q22"/>
    </sheetView>
  </sheetViews>
  <sheetFormatPr defaultRowHeight="15.6"/>
  <sheetData>
    <row r="1" spans="3:5">
      <c r="C1" s="2" t="s">
        <v>8</v>
      </c>
      <c r="D1" s="2" t="s">
        <v>5</v>
      </c>
      <c r="E1" s="3" t="s">
        <v>9</v>
      </c>
    </row>
    <row r="2" spans="3:5">
      <c r="C2" s="3">
        <v>0</v>
      </c>
      <c r="D2" s="3">
        <v>0</v>
      </c>
      <c r="E2" s="3" t="s">
        <v>20</v>
      </c>
    </row>
    <row r="3" spans="3:5">
      <c r="C3" s="3">
        <v>3.96754084530594</v>
      </c>
      <c r="D3" s="9">
        <v>1.0000000000000001E-9</v>
      </c>
      <c r="E3" s="3" t="s">
        <v>20</v>
      </c>
    </row>
    <row r="4" spans="3:5">
      <c r="C4" s="3">
        <v>4.9987523608019897</v>
      </c>
      <c r="D4" s="3">
        <v>1.2029811163219899</v>
      </c>
      <c r="E4" s="3" t="s">
        <v>20</v>
      </c>
    </row>
    <row r="5" spans="3:5">
      <c r="C5" s="3">
        <v>5.6803990098514001</v>
      </c>
      <c r="D5" s="3">
        <v>3.0075095810342298</v>
      </c>
      <c r="E5" s="3" t="s">
        <v>20</v>
      </c>
    </row>
    <row r="6" spans="3:5">
      <c r="C6" s="3">
        <v>6.2396992757867196</v>
      </c>
      <c r="D6" s="3">
        <v>5.7142581079242998</v>
      </c>
      <c r="E6" s="3" t="s">
        <v>20</v>
      </c>
    </row>
    <row r="7" spans="3:5">
      <c r="C7" s="3">
        <v>6.7290877418924904</v>
      </c>
      <c r="D7" s="3">
        <v>9.0225539832045794</v>
      </c>
      <c r="E7" s="3" t="s">
        <v>20</v>
      </c>
    </row>
    <row r="8" spans="3:5">
      <c r="C8" s="3">
        <v>7.1835203080834802</v>
      </c>
      <c r="D8" s="3">
        <v>13.2330573006117</v>
      </c>
      <c r="E8" s="3" t="s">
        <v>20</v>
      </c>
    </row>
    <row r="9" spans="3:5">
      <c r="C9" s="3">
        <v>7.6729087741892501</v>
      </c>
      <c r="D9" s="3">
        <v>19.248101702782002</v>
      </c>
      <c r="E9" s="3" t="s">
        <v>20</v>
      </c>
    </row>
    <row r="10" spans="3:5">
      <c r="C10" s="3">
        <v>8.1273398735555098</v>
      </c>
      <c r="D10" s="3">
        <v>26.466165081427199</v>
      </c>
      <c r="E10" s="3" t="s">
        <v>20</v>
      </c>
    </row>
    <row r="11" spans="3:5">
      <c r="C11" s="3">
        <v>8.5293378564619804</v>
      </c>
      <c r="D11" s="3">
        <v>33.984964274114702</v>
      </c>
      <c r="E11" s="3" t="s">
        <v>20</v>
      </c>
    </row>
    <row r="12" spans="3:5">
      <c r="C12" s="3">
        <v>8.8788997892591901</v>
      </c>
      <c r="D12" s="3">
        <v>42.1052603349886</v>
      </c>
      <c r="E12" s="3" t="s">
        <v>20</v>
      </c>
    </row>
    <row r="13" spans="3:5">
      <c r="C13" s="3">
        <v>9.1935072889663498</v>
      </c>
      <c r="D13" s="3">
        <v>50.526317450006701</v>
      </c>
      <c r="E13" s="3" t="s">
        <v>20</v>
      </c>
    </row>
    <row r="14" spans="3:5">
      <c r="C14" s="3">
        <v>9.5081133218487892</v>
      </c>
      <c r="D14" s="3">
        <v>59.248122999118003</v>
      </c>
      <c r="E14" s="3" t="s">
        <v>20</v>
      </c>
    </row>
    <row r="15" spans="3:5">
      <c r="C15" s="3">
        <v>9.8052421381862001</v>
      </c>
      <c r="D15" s="3">
        <v>69.172922284602294</v>
      </c>
      <c r="E15" s="3" t="s">
        <v>20</v>
      </c>
    </row>
    <row r="16" spans="3:5">
      <c r="C16" s="3">
        <v>10.119849637893299</v>
      </c>
      <c r="D16" s="3">
        <v>79.398495244281605</v>
      </c>
      <c r="E16" s="3" t="s">
        <v>20</v>
      </c>
    </row>
    <row r="17" spans="3:5">
      <c r="C17" s="3">
        <v>10.4169784542307</v>
      </c>
      <c r="D17" s="3">
        <v>90.827061940334005</v>
      </c>
      <c r="E17" s="3" t="s">
        <v>20</v>
      </c>
    </row>
    <row r="18" spans="3:5">
      <c r="C18" s="3">
        <v>10.7665403870279</v>
      </c>
      <c r="D18" s="3">
        <v>104.36089922516599</v>
      </c>
      <c r="E18" s="3" t="s">
        <v>20</v>
      </c>
    </row>
    <row r="19" spans="3:5">
      <c r="C19" s="3">
        <v>11.063669203365301</v>
      </c>
      <c r="D19" s="3">
        <v>115.789465921218</v>
      </c>
      <c r="E19" s="3" t="s">
        <v>20</v>
      </c>
    </row>
    <row r="20" spans="3:5">
      <c r="C20" s="3">
        <v>11.378276703072499</v>
      </c>
      <c r="D20" s="3">
        <v>128.72180002783901</v>
      </c>
      <c r="E20" s="3" t="s">
        <v>20</v>
      </c>
    </row>
    <row r="21" spans="3:5">
      <c r="C21" s="3">
        <v>11.797751902524</v>
      </c>
      <c r="D21" s="3">
        <v>144.661653180531</v>
      </c>
      <c r="E21" s="3" t="s">
        <v>20</v>
      </c>
    </row>
    <row r="22" spans="3:5">
      <c r="C22" s="3">
        <v>12.217227101975499</v>
      </c>
      <c r="D22" s="3">
        <v>160</v>
      </c>
      <c r="E22" s="3" t="s">
        <v>20</v>
      </c>
    </row>
    <row r="23" spans="3:5">
      <c r="C23" s="7"/>
      <c r="D23" s="7"/>
      <c r="E23" s="3"/>
    </row>
    <row r="24" spans="3:5">
      <c r="C24" s="7"/>
      <c r="D24" s="7"/>
      <c r="E24" s="3"/>
    </row>
    <row r="25" spans="3:5">
      <c r="C25" s="7"/>
      <c r="D25" s="7"/>
      <c r="E25" s="3"/>
    </row>
    <row r="26" spans="3:5">
      <c r="C26" s="7"/>
      <c r="D26" s="7"/>
      <c r="E26" s="3"/>
    </row>
    <row r="27" spans="3:5">
      <c r="C27" s="7"/>
      <c r="D27" s="7"/>
      <c r="E27" s="3"/>
    </row>
    <row r="28" spans="3:5">
      <c r="C28" s="7"/>
      <c r="D28" s="7"/>
      <c r="E28" s="3"/>
    </row>
    <row r="29" spans="3:5">
      <c r="C29" s="6"/>
      <c r="D29" s="6"/>
      <c r="E29" s="3"/>
    </row>
    <row r="30" spans="3:5">
      <c r="C30" s="6"/>
      <c r="D30" s="6"/>
      <c r="E30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zoomScale="85" zoomScaleNormal="85" workbookViewId="0">
      <selection activeCell="J17" sqref="J17"/>
    </sheetView>
  </sheetViews>
  <sheetFormatPr defaultRowHeight="15.6"/>
  <sheetData>
    <row r="1" spans="1:2">
      <c r="A1" s="3" t="s">
        <v>10</v>
      </c>
      <c r="B1" s="3"/>
    </row>
    <row r="2" spans="1:2">
      <c r="A2" s="3">
        <v>3.6</v>
      </c>
      <c r="B2" s="3"/>
    </row>
    <row r="3" spans="1:2">
      <c r="A3" s="3"/>
      <c r="B3" s="3"/>
    </row>
    <row r="4" spans="1:2">
      <c r="A4" s="3"/>
      <c r="B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614-8864-4923-A89E-50D43D25E344}">
  <dimension ref="A1:C36"/>
  <sheetViews>
    <sheetView zoomScale="70" zoomScaleNormal="70" workbookViewId="0">
      <selection activeCell="B3" sqref="B3"/>
    </sheetView>
  </sheetViews>
  <sheetFormatPr defaultRowHeight="15.6"/>
  <cols>
    <col min="2" max="2" width="11.59765625" customWidth="1"/>
  </cols>
  <sheetData>
    <row r="1" spans="1:3">
      <c r="A1" s="3" t="s">
        <v>11</v>
      </c>
      <c r="B1" s="3" t="s">
        <v>12</v>
      </c>
      <c r="C1" s="3" t="s">
        <v>13</v>
      </c>
    </row>
    <row r="2" spans="1:3">
      <c r="A2" s="7">
        <v>0</v>
      </c>
      <c r="B2" s="7">
        <v>0</v>
      </c>
      <c r="C2" s="3">
        <v>25</v>
      </c>
    </row>
    <row r="3" spans="1:3">
      <c r="A3" s="7">
        <v>1.8245260480000001</v>
      </c>
      <c r="B3" s="8">
        <v>1.0000000000000001E-9</v>
      </c>
      <c r="C3" s="3">
        <v>25</v>
      </c>
    </row>
    <row r="4" spans="1:3">
      <c r="A4" s="7">
        <v>2.2432695310000001</v>
      </c>
      <c r="B4" s="8">
        <v>2.5997053050000001</v>
      </c>
      <c r="C4" s="3">
        <v>25</v>
      </c>
    </row>
    <row r="5" spans="1:3">
      <c r="A5" s="7">
        <v>2.6321032010000001</v>
      </c>
      <c r="B5" s="7">
        <v>7.7991159139999997</v>
      </c>
      <c r="C5" s="3">
        <v>25</v>
      </c>
    </row>
    <row r="6" spans="1:3">
      <c r="A6" s="7">
        <v>3.13060771</v>
      </c>
      <c r="B6" s="7">
        <v>14.180205839999999</v>
      </c>
      <c r="C6" s="3">
        <v>25</v>
      </c>
    </row>
    <row r="7" spans="1:3">
      <c r="A7" s="7">
        <v>3.4596209899999999</v>
      </c>
      <c r="B7" s="7">
        <v>19.37961645</v>
      </c>
      <c r="C7" s="3">
        <v>25</v>
      </c>
    </row>
    <row r="8" spans="1:3">
      <c r="A8" s="7">
        <v>3.9481555610000001</v>
      </c>
      <c r="B8" s="7">
        <v>27.651403179999999</v>
      </c>
      <c r="C8" s="3">
        <v>25</v>
      </c>
    </row>
    <row r="9" spans="1:3">
      <c r="A9" s="7">
        <v>4.4167494960000004</v>
      </c>
      <c r="B9" s="7">
        <v>36.868545089999998</v>
      </c>
      <c r="C9" s="3">
        <v>25</v>
      </c>
    </row>
    <row r="10" spans="1:3">
      <c r="A10" s="7">
        <v>4.6959123250000001</v>
      </c>
      <c r="B10" s="7">
        <v>43.722301330000001</v>
      </c>
      <c r="C10" s="3">
        <v>25</v>
      </c>
    </row>
    <row r="11" spans="1:3">
      <c r="A11" s="7">
        <v>5.0648053580000001</v>
      </c>
      <c r="B11" s="7">
        <v>52.230430239999997</v>
      </c>
      <c r="C11" s="3">
        <v>25</v>
      </c>
    </row>
    <row r="12" spans="1:3">
      <c r="A12" s="7">
        <v>5.3439681869999998</v>
      </c>
      <c r="B12" s="7">
        <v>60.265874799999999</v>
      </c>
      <c r="C12" s="3">
        <v>25</v>
      </c>
    </row>
    <row r="13" spans="1:3">
      <c r="A13" s="7">
        <v>5.60319038</v>
      </c>
      <c r="B13" s="7">
        <v>67.592319889999999</v>
      </c>
      <c r="C13" s="3">
        <v>25</v>
      </c>
    </row>
    <row r="14" spans="1:3">
      <c r="A14" s="7">
        <v>5.7926222459999996</v>
      </c>
      <c r="B14" s="7">
        <v>73.737072150000003</v>
      </c>
      <c r="C14" s="3">
        <v>25</v>
      </c>
    </row>
    <row r="15" spans="1:3">
      <c r="A15" s="7">
        <v>5.9322029000000001</v>
      </c>
      <c r="B15" s="7">
        <v>77.991132100000002</v>
      </c>
      <c r="C15" s="3">
        <v>25</v>
      </c>
    </row>
    <row r="16" spans="1:3">
      <c r="A16" s="7">
        <v>6.0618143770000001</v>
      </c>
      <c r="B16" s="7">
        <v>82.717867380000001</v>
      </c>
      <c r="C16" s="3">
        <v>25</v>
      </c>
    </row>
    <row r="17" spans="1:3">
      <c r="A17" s="7">
        <v>6.1814551550000001</v>
      </c>
      <c r="B17" s="7">
        <v>86.499261009999998</v>
      </c>
      <c r="C17" s="3">
        <v>25</v>
      </c>
    </row>
    <row r="18" spans="1:3">
      <c r="A18" s="7">
        <v>6.2811560560000004</v>
      </c>
      <c r="B18" s="7">
        <v>90.516978780000002</v>
      </c>
      <c r="C18" s="3">
        <v>25</v>
      </c>
    </row>
    <row r="19" spans="1:3">
      <c r="A19" s="7">
        <v>6.430707409</v>
      </c>
      <c r="B19" s="7">
        <v>95.007398929999994</v>
      </c>
      <c r="C19" s="3">
        <v>25</v>
      </c>
    </row>
    <row r="20" spans="1:3">
      <c r="A20" s="7">
        <v>6.5802587619999997</v>
      </c>
      <c r="B20" s="7">
        <v>101.15213319999999</v>
      </c>
      <c r="C20" s="3">
        <v>25</v>
      </c>
    </row>
    <row r="21" spans="1:3">
      <c r="A21" s="7">
        <v>6.7497507519999997</v>
      </c>
      <c r="B21" s="7">
        <v>106.3515438</v>
      </c>
      <c r="C21" s="3">
        <v>25</v>
      </c>
    </row>
    <row r="22" spans="1:3">
      <c r="A22" s="7">
        <v>6.929211918</v>
      </c>
      <c r="B22" s="7">
        <v>112.9689714</v>
      </c>
      <c r="C22" s="3">
        <v>25</v>
      </c>
    </row>
    <row r="23" spans="1:3">
      <c r="A23" s="7">
        <v>7.0987039080000001</v>
      </c>
      <c r="B23" s="7">
        <v>119.82275009999999</v>
      </c>
      <c r="C23" s="3">
        <v>25</v>
      </c>
    </row>
    <row r="24" spans="1:3">
      <c r="A24" s="7">
        <v>7.2781650750000004</v>
      </c>
      <c r="B24" s="7">
        <v>126.4401687</v>
      </c>
      <c r="C24" s="3">
        <v>25</v>
      </c>
    </row>
    <row r="25" spans="1:3">
      <c r="A25" s="7">
        <v>7.4277164280000001</v>
      </c>
      <c r="B25" s="7">
        <v>133.53027159999999</v>
      </c>
      <c r="C25" s="3">
        <v>25</v>
      </c>
    </row>
    <row r="26" spans="1:3">
      <c r="A26" s="7">
        <v>7.597208417</v>
      </c>
      <c r="B26" s="7">
        <v>140.3840414</v>
      </c>
      <c r="C26" s="3">
        <v>25</v>
      </c>
    </row>
    <row r="27" spans="1:3">
      <c r="A27" s="7">
        <v>7.7268191330000002</v>
      </c>
      <c r="B27" s="7">
        <v>146.5287936</v>
      </c>
      <c r="C27" s="3">
        <v>25</v>
      </c>
    </row>
    <row r="28" spans="1:3">
      <c r="A28" s="3">
        <v>7.8564306100000003</v>
      </c>
      <c r="B28" s="3">
        <v>152.4372127</v>
      </c>
      <c r="C28" s="3">
        <v>25</v>
      </c>
    </row>
    <row r="29" spans="1:3">
      <c r="A29" s="3">
        <v>8.0658023520000004</v>
      </c>
      <c r="B29" s="3">
        <v>160.47266629999999</v>
      </c>
      <c r="C29" s="3">
        <v>25</v>
      </c>
    </row>
    <row r="30" spans="1:3">
      <c r="C30" s="3"/>
    </row>
    <row r="31" spans="1:3">
      <c r="C31" s="3"/>
    </row>
    <row r="32" spans="1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9A34-A96F-47D2-9587-82DA3E239B23}">
  <dimension ref="A1:B39"/>
  <sheetViews>
    <sheetView zoomScale="115" zoomScaleNormal="115" workbookViewId="0">
      <selection activeCell="M18" sqref="M18"/>
    </sheetView>
  </sheetViews>
  <sheetFormatPr defaultRowHeight="15.6"/>
  <sheetData>
    <row r="1" spans="1:2" ht="15.9" thickBot="1">
      <c r="A1" s="4" t="s">
        <v>14</v>
      </c>
      <c r="B1" s="5" t="s">
        <v>15</v>
      </c>
    </row>
    <row r="2" spans="1:2">
      <c r="A2" s="7">
        <v>0</v>
      </c>
      <c r="B2" s="7">
        <v>4218.8295575900802</v>
      </c>
    </row>
    <row r="3" spans="1:2">
      <c r="A3" s="7">
        <v>11.663085959706899</v>
      </c>
      <c r="B3" s="7">
        <v>3560.0755346782098</v>
      </c>
    </row>
    <row r="4" spans="1:2">
      <c r="A4" s="7">
        <v>54.427652087768102</v>
      </c>
      <c r="B4" s="7">
        <v>3560.0755346782098</v>
      </c>
    </row>
    <row r="5" spans="1:2">
      <c r="A5" s="7">
        <v>82.937379317981595</v>
      </c>
      <c r="B5" s="7">
        <v>3560.0755346782098</v>
      </c>
    </row>
    <row r="6" spans="1:2">
      <c r="A6" s="7">
        <v>119.222464231654</v>
      </c>
      <c r="B6" s="7">
        <v>3560.0755346782098</v>
      </c>
    </row>
    <row r="7" spans="1:2">
      <c r="A7" s="7">
        <v>160.69115389064399</v>
      </c>
      <c r="B7" s="7">
        <v>3560.0755346782098</v>
      </c>
    </row>
    <row r="8" spans="1:2">
      <c r="A8" s="7">
        <v>202.15979411511699</v>
      </c>
      <c r="B8" s="7">
        <v>3510.0630122058801</v>
      </c>
    </row>
    <row r="9" spans="1:2">
      <c r="A9" s="7">
        <v>244.92440967769599</v>
      </c>
      <c r="B9" s="7">
        <v>3412.1340079542902</v>
      </c>
    </row>
    <row r="10" spans="1:2">
      <c r="A10" s="7">
        <v>279.91356868778001</v>
      </c>
      <c r="B10" s="7">
        <v>3610.8016262604101</v>
      </c>
    </row>
    <row r="11" spans="1:2">
      <c r="A11" s="7">
        <v>334.34127021006702</v>
      </c>
      <c r="B11" s="7">
        <v>3510.0630122058801</v>
      </c>
    </row>
    <row r="12" spans="1:2">
      <c r="A12" s="7">
        <v>377.10578690360899</v>
      </c>
      <c r="B12" s="7">
        <v>3510.0630122058801</v>
      </c>
    </row>
    <row r="13" spans="1:2">
      <c r="A13" s="7">
        <v>419.87040246618898</v>
      </c>
      <c r="B13" s="7">
        <v>3560.0755346782098</v>
      </c>
    </row>
    <row r="14" spans="1:2">
      <c r="A14" s="7">
        <v>460.04316622159098</v>
      </c>
      <c r="B14" s="7">
        <v>3412.1340079542902</v>
      </c>
    </row>
    <row r="15" spans="1:2">
      <c r="A15" s="7">
        <v>509.28726299855902</v>
      </c>
      <c r="B15" s="7">
        <v>3510.0630122058801</v>
      </c>
    </row>
    <row r="16" spans="1:2">
      <c r="A16" s="7">
        <v>544.27642200864295</v>
      </c>
      <c r="B16" s="7">
        <v>3560.0755346782098</v>
      </c>
    </row>
    <row r="17" spans="1:2">
      <c r="A17" s="7">
        <v>588.33691404029298</v>
      </c>
      <c r="B17" s="7">
        <v>3610.8016262604101</v>
      </c>
    </row>
    <row r="18" spans="1:2">
      <c r="A18" s="7">
        <v>642.76451669354196</v>
      </c>
      <c r="B18" s="7">
        <v>3560.0755346782098</v>
      </c>
    </row>
    <row r="19" spans="1:2">
      <c r="A19" s="7">
        <v>699.78397115396899</v>
      </c>
      <c r="B19" s="7">
        <v>3560.0755346782098</v>
      </c>
    </row>
    <row r="20" spans="1:2">
      <c r="A20" s="7">
        <v>751.61982086907801</v>
      </c>
      <c r="B20" s="7">
        <v>3510.0630122058801</v>
      </c>
    </row>
    <row r="21" spans="1:2">
      <c r="A21" s="7">
        <v>807.34339886043495</v>
      </c>
      <c r="B21" s="7">
        <v>3460.75213992712</v>
      </c>
    </row>
    <row r="22" spans="1:2">
      <c r="A22" s="7">
        <v>868.25048272807305</v>
      </c>
      <c r="B22" s="7">
        <v>3460.75213992712</v>
      </c>
    </row>
    <row r="23" spans="1:2">
      <c r="A23" s="7">
        <v>934.34117134102996</v>
      </c>
      <c r="B23" s="7">
        <v>3510.0630122058801</v>
      </c>
    </row>
    <row r="24" spans="1:2">
      <c r="A24" s="7">
        <v>1006.91134116837</v>
      </c>
      <c r="B24" s="7">
        <v>3510.0630122058801</v>
      </c>
    </row>
    <row r="25" spans="1:2">
      <c r="A25" s="7">
        <v>1049.67595673095</v>
      </c>
      <c r="B25" s="7">
        <v>3510.0630122058801</v>
      </c>
    </row>
    <row r="26" spans="1:2">
      <c r="A26" s="7">
        <v>1097.62407816981</v>
      </c>
      <c r="B26" s="7">
        <v>3560.0755346782098</v>
      </c>
    </row>
    <row r="27" spans="1:2">
      <c r="A27" s="7">
        <v>1139.09291613236</v>
      </c>
      <c r="B27" s="7">
        <v>3510.0630122058801</v>
      </c>
    </row>
    <row r="28" spans="1:2">
      <c r="A28" s="7">
        <v>1196.1122717237499</v>
      </c>
      <c r="B28" s="7">
        <v>3560.0755346782098</v>
      </c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6"/>
      <c r="B38" s="6"/>
    </row>
    <row r="39" spans="1:2">
      <c r="A39" s="6"/>
      <c r="B39" s="6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4037-7AF4-4085-978E-00C1878B509E}">
  <dimension ref="A1:B33"/>
  <sheetViews>
    <sheetView topLeftCell="A2" zoomScaleNormal="100" workbookViewId="0">
      <selection activeCell="P6" sqref="P6"/>
    </sheetView>
  </sheetViews>
  <sheetFormatPr defaultRowHeight="15.6"/>
  <sheetData>
    <row r="1" spans="1:2" ht="15.9" thickBot="1">
      <c r="A1" s="4" t="s">
        <v>14</v>
      </c>
      <c r="B1" s="5" t="s">
        <v>16</v>
      </c>
    </row>
    <row r="2" spans="1:2">
      <c r="A2" s="7">
        <v>0</v>
      </c>
      <c r="B2" s="7">
        <v>2920.3689925737699</v>
      </c>
    </row>
    <row r="3" spans="1:2">
      <c r="A3" s="7">
        <v>7.7754071179774202</v>
      </c>
      <c r="B3" s="7">
        <v>1567.0548890288601</v>
      </c>
    </row>
    <row r="4" spans="1:2">
      <c r="A4" s="7">
        <v>11.663085959706899</v>
      </c>
      <c r="B4" s="7">
        <v>996.46903553362097</v>
      </c>
    </row>
    <row r="5" spans="1:2">
      <c r="A5" s="7">
        <v>22.0302460158249</v>
      </c>
      <c r="B5" s="7">
        <v>689.77853193432202</v>
      </c>
    </row>
    <row r="6" spans="1:2">
      <c r="A6" s="7">
        <v>37.581010817261301</v>
      </c>
      <c r="B6" s="7">
        <v>484.28355502164999</v>
      </c>
    </row>
    <row r="7" spans="1:2">
      <c r="A7" s="7">
        <v>69.978416889204397</v>
      </c>
      <c r="B7" s="7">
        <v>364.93192172614698</v>
      </c>
    </row>
    <row r="8" spans="1:2">
      <c r="A8" s="7">
        <v>104.967625333806</v>
      </c>
      <c r="B8" s="7">
        <v>291.00580587156099</v>
      </c>
    </row>
    <row r="9" spans="1:2">
      <c r="A9" s="7">
        <v>164.57888216689199</v>
      </c>
      <c r="B9" s="7">
        <v>235.36167867698799</v>
      </c>
    </row>
    <row r="10" spans="1:2">
      <c r="A10" s="7">
        <v>211.231127136683</v>
      </c>
      <c r="B10" s="7">
        <v>207.222122974608</v>
      </c>
    </row>
    <row r="11" spans="1:2">
      <c r="A11" s="7">
        <v>247.516162615837</v>
      </c>
      <c r="B11" s="7">
        <v>187.68316480946899</v>
      </c>
    </row>
    <row r="12" spans="1:2">
      <c r="A12" s="7">
        <v>292.87253111655701</v>
      </c>
      <c r="B12" s="7">
        <v>177.356816703069</v>
      </c>
    </row>
    <row r="13" spans="1:2">
      <c r="A13" s="7">
        <v>326.56591252660797</v>
      </c>
      <c r="B13" s="7">
        <v>165.24408334959</v>
      </c>
    </row>
    <row r="14" spans="1:2">
      <c r="A14" s="7">
        <v>366.73867628200998</v>
      </c>
      <c r="B14" s="7">
        <v>158.37724534722</v>
      </c>
    </row>
    <row r="15" spans="1:2">
      <c r="A15" s="7">
        <v>410.79916831366</v>
      </c>
      <c r="B15" s="7">
        <v>151.79568186506501</v>
      </c>
    </row>
    <row r="16" spans="1:2">
      <c r="A16" s="7">
        <v>457.45141328344999</v>
      </c>
      <c r="B16" s="7">
        <v>141.42866776986199</v>
      </c>
    </row>
    <row r="17" spans="1:2">
      <c r="A17" s="7">
        <v>515.76674421294797</v>
      </c>
      <c r="B17" s="7">
        <v>137.482952803285</v>
      </c>
    </row>
    <row r="18" spans="1:2">
      <c r="A18" s="7">
        <v>568.89847039712697</v>
      </c>
      <c r="B18" s="7">
        <v>135.55149667374499</v>
      </c>
    </row>
    <row r="19" spans="1:2">
      <c r="A19" s="7">
        <v>625.917924857554</v>
      </c>
      <c r="B19" s="7">
        <v>129.91855569474399</v>
      </c>
    </row>
    <row r="20" spans="1:2">
      <c r="A20" s="7">
        <v>695.89634174675803</v>
      </c>
      <c r="B20" s="7">
        <v>128.09343860861401</v>
      </c>
    </row>
    <row r="21" spans="1:2">
      <c r="A21" s="7">
        <v>752.91569733814799</v>
      </c>
      <c r="B21" s="7">
        <v>126.293892904148</v>
      </c>
    </row>
    <row r="22" spans="1:2">
      <c r="A22" s="7">
        <v>808.63927532950504</v>
      </c>
      <c r="B22" s="7">
        <v>124.519695672808</v>
      </c>
    </row>
    <row r="23" spans="1:2">
      <c r="A23" s="7">
        <v>850.10791555397805</v>
      </c>
      <c r="B23" s="7">
        <v>126.293892904148</v>
      </c>
    </row>
    <row r="24" spans="1:2">
      <c r="A24" s="7">
        <v>892.87253111655696</v>
      </c>
      <c r="B24" s="7">
        <v>126.293892904148</v>
      </c>
    </row>
    <row r="25" spans="1:2">
      <c r="A25" s="7">
        <v>940.82065255541795</v>
      </c>
      <c r="B25" s="7">
        <v>126.293892904148</v>
      </c>
    </row>
    <row r="26" spans="1:2">
      <c r="A26" s="7">
        <v>980.99341631081995</v>
      </c>
      <c r="B26" s="7">
        <v>128.09343860861401</v>
      </c>
    </row>
    <row r="27" spans="1:2">
      <c r="A27" s="7">
        <v>1015.98277305897</v>
      </c>
      <c r="B27" s="7">
        <v>126.293892904148</v>
      </c>
    </row>
    <row r="28" spans="1:2">
      <c r="A28" s="7">
        <v>1049.67595673095</v>
      </c>
      <c r="B28" s="7">
        <v>126.293892904148</v>
      </c>
    </row>
    <row r="29" spans="1:2">
      <c r="A29" s="7">
        <v>1085.96109107914</v>
      </c>
      <c r="B29" s="7">
        <v>126.293892904148</v>
      </c>
    </row>
    <row r="30" spans="1:2">
      <c r="A30" s="7">
        <v>1119.6544724891901</v>
      </c>
      <c r="B30" s="7">
        <v>126.293892904148</v>
      </c>
    </row>
    <row r="31" spans="1:2">
      <c r="A31" s="7">
        <v>1162.4188903137001</v>
      </c>
      <c r="B31" s="7">
        <v>126.293892904148</v>
      </c>
    </row>
    <row r="32" spans="1:2">
      <c r="A32" s="7">
        <v>1197.40824706185</v>
      </c>
      <c r="B32" s="7">
        <v>122.770356394361</v>
      </c>
    </row>
    <row r="33" spans="1:2">
      <c r="A33" s="6"/>
      <c r="B33" s="6"/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66E-02DD-45C1-96A6-F683051AA92D}">
  <dimension ref="A1:B35"/>
  <sheetViews>
    <sheetView zoomScale="70" zoomScaleNormal="70" workbookViewId="0">
      <selection activeCell="Y12" sqref="Y12"/>
    </sheetView>
  </sheetViews>
  <sheetFormatPr defaultRowHeight="15.6"/>
  <cols>
    <col min="1" max="1" width="11.09765625" customWidth="1"/>
  </cols>
  <sheetData>
    <row r="1" spans="1:2" ht="15.9" thickBot="1">
      <c r="A1" s="4" t="s">
        <v>14</v>
      </c>
      <c r="B1" s="5" t="s">
        <v>17</v>
      </c>
    </row>
    <row r="2" spans="1:2">
      <c r="A2" s="3" t="s">
        <v>18</v>
      </c>
      <c r="B2" s="3" t="s">
        <v>19</v>
      </c>
    </row>
    <row r="3" spans="1:2">
      <c r="A3" s="7">
        <v>0</v>
      </c>
      <c r="B3" s="7">
        <v>1025.0673650000001</v>
      </c>
    </row>
    <row r="4" spans="1:2">
      <c r="A4" s="8">
        <v>1.0000000000000001E-9</v>
      </c>
      <c r="B4" s="7">
        <v>438.62049560000003</v>
      </c>
    </row>
    <row r="5" spans="1:2">
      <c r="A5" s="8">
        <v>5.1836047450000002</v>
      </c>
      <c r="B5" s="7">
        <v>172.40865009999999</v>
      </c>
    </row>
    <row r="6" spans="1:2">
      <c r="A6" s="7">
        <v>6.4794812139999998</v>
      </c>
      <c r="B6" s="7">
        <v>89.932579360000005</v>
      </c>
    </row>
    <row r="7" spans="1:2">
      <c r="A7" s="7">
        <v>10.36716006</v>
      </c>
      <c r="B7" s="7">
        <v>50.349687590000002</v>
      </c>
    </row>
    <row r="8" spans="1:2">
      <c r="A8" s="7">
        <v>10.36716006</v>
      </c>
      <c r="B8" s="7">
        <v>34.853198999999996</v>
      </c>
    </row>
    <row r="9" spans="1:2">
      <c r="A9" s="7">
        <v>19.438443639999999</v>
      </c>
      <c r="B9" s="7">
        <v>24.818590360000002</v>
      </c>
    </row>
    <row r="10" spans="1:2">
      <c r="A10" s="7">
        <v>34.989208439999999</v>
      </c>
      <c r="B10" s="7">
        <v>17.424778910000001</v>
      </c>
    </row>
    <row r="11" spans="1:2">
      <c r="A11" s="7">
        <v>64.794812140000005</v>
      </c>
      <c r="B11" s="7">
        <v>13.317537939999999</v>
      </c>
    </row>
    <row r="12" spans="1:2">
      <c r="A12" s="7">
        <v>107.55937830000001</v>
      </c>
      <c r="B12" s="7">
        <v>11.23805557</v>
      </c>
    </row>
    <row r="13" spans="1:2">
      <c r="A13" s="7">
        <v>143.84446320000001</v>
      </c>
      <c r="B13" s="7">
        <v>9.894447327</v>
      </c>
    </row>
    <row r="14" spans="1:2">
      <c r="A14" s="7">
        <v>190.49680699999999</v>
      </c>
      <c r="B14" s="7">
        <v>8.9615006439999991</v>
      </c>
    </row>
    <row r="15" spans="1:2">
      <c r="A15" s="7">
        <v>250.1080144</v>
      </c>
      <c r="B15" s="7">
        <v>8.468437905</v>
      </c>
    </row>
    <row r="16" spans="1:2">
      <c r="A16" s="7">
        <v>290.28077819999999</v>
      </c>
      <c r="B16" s="7">
        <v>7.7792334829999996</v>
      </c>
    </row>
    <row r="17" spans="1:2">
      <c r="A17" s="7">
        <v>352.48383740000003</v>
      </c>
      <c r="B17" s="7">
        <v>7.4559617810000001</v>
      </c>
    </row>
    <row r="18" spans="1:2">
      <c r="A18" s="7">
        <v>400.43195880000002</v>
      </c>
      <c r="B18" s="7">
        <v>7.1461161559999997</v>
      </c>
    </row>
    <row r="19" spans="1:2">
      <c r="A19" s="7">
        <v>461.33904269999999</v>
      </c>
      <c r="B19" s="7">
        <v>6.8491614969999999</v>
      </c>
    </row>
    <row r="20" spans="1:2">
      <c r="A20" s="7">
        <v>524.8379784</v>
      </c>
      <c r="B20" s="7">
        <v>6.6580661269999997</v>
      </c>
    </row>
    <row r="21" spans="1:2">
      <c r="A21" s="7">
        <v>577.96970450000003</v>
      </c>
      <c r="B21" s="7">
        <v>6.381392237</v>
      </c>
    </row>
    <row r="22" spans="1:2">
      <c r="A22" s="7">
        <v>631.10152960000005</v>
      </c>
      <c r="B22" s="7">
        <v>6.2917420020000003</v>
      </c>
    </row>
    <row r="23" spans="1:2">
      <c r="A23" s="7">
        <v>679.04965100000004</v>
      </c>
      <c r="B23" s="7">
        <v>6.472316395</v>
      </c>
    </row>
    <row r="24" spans="1:2">
      <c r="A24" s="7">
        <v>712.74293360000001</v>
      </c>
      <c r="B24" s="7">
        <v>6.472316395</v>
      </c>
    </row>
    <row r="25" spans="1:2">
      <c r="A25" s="7">
        <v>759.39517860000001</v>
      </c>
      <c r="B25" s="7">
        <v>6.472316395</v>
      </c>
    </row>
    <row r="26" spans="1:2">
      <c r="A26" s="7">
        <v>819.00648479999995</v>
      </c>
      <c r="B26" s="7">
        <v>6.564539613</v>
      </c>
    </row>
    <row r="27" spans="1:2">
      <c r="A27" s="7">
        <v>857.88337209999997</v>
      </c>
      <c r="B27" s="7">
        <v>6.6580661269999997</v>
      </c>
    </row>
    <row r="28" spans="1:2">
      <c r="A28" s="7">
        <v>895.46428409999999</v>
      </c>
      <c r="B28" s="7">
        <v>6.381392237</v>
      </c>
    </row>
    <row r="29" spans="1:2">
      <c r="A29" s="3">
        <v>940.82065260000002</v>
      </c>
      <c r="B29" s="3">
        <v>6.6580661269999997</v>
      </c>
    </row>
    <row r="30" spans="1:2">
      <c r="A30" s="3">
        <v>983.58536700000002</v>
      </c>
      <c r="B30" s="3">
        <v>6.6580661269999997</v>
      </c>
    </row>
    <row r="31" spans="1:2">
      <c r="A31" s="3">
        <v>1019.870304</v>
      </c>
      <c r="B31" s="3">
        <v>6.752939714</v>
      </c>
    </row>
    <row r="32" spans="1:2">
      <c r="A32" s="3">
        <v>1080.777585</v>
      </c>
      <c r="B32" s="3">
        <v>6.6580661269999997</v>
      </c>
    </row>
    <row r="33" spans="1:2">
      <c r="A33" s="3">
        <v>1140.388694</v>
      </c>
      <c r="B33" s="3">
        <v>6.8491614969999999</v>
      </c>
    </row>
    <row r="34" spans="1:2">
      <c r="A34" s="3">
        <v>1176.673828</v>
      </c>
      <c r="B34" s="3">
        <v>6.752939714</v>
      </c>
    </row>
    <row r="35" spans="1:2">
      <c r="A35" s="3">
        <v>1201.2957779999999</v>
      </c>
      <c r="B35" s="3">
        <v>6.9467505840000001</v>
      </c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A66D-9BB9-4630-8606-232336366C37}">
  <dimension ref="A1:A2"/>
  <sheetViews>
    <sheetView workbookViewId="0">
      <selection activeCell="B2" sqref="B2"/>
    </sheetView>
  </sheetViews>
  <sheetFormatPr defaultRowHeight="15.6"/>
  <sheetData>
    <row r="1" spans="1:1">
      <c r="A1" t="s">
        <v>25</v>
      </c>
    </row>
    <row r="2" spans="1:1">
      <c r="A2">
        <v>260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C70B-4B81-4464-88B7-A904B7496D8C}">
  <dimension ref="A1:A2"/>
  <sheetViews>
    <sheetView workbookViewId="0">
      <selection activeCell="B2" sqref="B2"/>
    </sheetView>
  </sheetViews>
  <sheetFormatPr defaultRowHeight="15.6"/>
  <sheetData>
    <row r="1" spans="1:1">
      <c r="A1" t="s">
        <v>26</v>
      </c>
    </row>
    <row r="2" spans="1:1">
      <c r="A2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5B0E-DE1E-4E9F-B7BF-2EE78EFF024A}">
  <dimension ref="A1:A2"/>
  <sheetViews>
    <sheetView tabSelected="1" workbookViewId="0">
      <selection activeCell="J25" sqref="J25"/>
    </sheetView>
  </sheetViews>
  <sheetFormatPr defaultRowHeight="15.6"/>
  <sheetData>
    <row r="1" spans="1:1">
      <c r="A1" t="s">
        <v>28</v>
      </c>
    </row>
    <row r="2" spans="1:1">
      <c r="A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2026-02-10T02:54:49Z</dcterms:modified>
  <cp:category/>
  <cp:contentStatus/>
</cp:coreProperties>
</file>