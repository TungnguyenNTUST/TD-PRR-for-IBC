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_Mosfet\C3M0040120K1\"/>
    </mc:Choice>
  </mc:AlternateContent>
  <xr:revisionPtr revIDLastSave="0" documentId="13_ncr:1_{85B779D3-E374-4070-8E14-7C32753136EA}" xr6:coauthVersionLast="47" xr6:coauthVersionMax="47" xr10:uidLastSave="{00000000-0000-0000-0000-000000000000}"/>
  <bookViews>
    <workbookView xWindow="-96" yWindow="-96" windowWidth="23232" windowHeight="13872" activeTab="1" xr2:uid="{1E0CD794-3177-40A9-A113-75F46A9DD563}"/>
  </bookViews>
  <sheets>
    <sheet name="Capacitance" sheetId="1" r:id="rId1"/>
    <sheet name="Rds(on)" sheetId="8" r:id="rId2"/>
    <sheet name="Output" sheetId="4" r:id="rId3"/>
    <sheet name="Rg" sheetId="9" r:id="rId4"/>
    <sheet name="Transfer" sheetId="5" r:id="rId5"/>
    <sheet name="VTH" sheetId="6" r:id="rId6"/>
    <sheet name="body diode" sheetId="7" r:id="rId7"/>
    <sheet name="Ciss" sheetId="11" r:id="rId8"/>
    <sheet name="Coss" sheetId="10" r:id="rId9"/>
    <sheet name="Crss" sheetId="12" r:id="rId10"/>
    <sheet name="Eon" sheetId="13" r:id="rId11"/>
    <sheet name="Eoff" sheetId="14" r:id="rId12"/>
    <sheet name="ID_25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8" l="1"/>
</calcChain>
</file>

<file path=xl/sharedStrings.xml><?xml version="1.0" encoding="utf-8"?>
<sst xmlns="http://schemas.openxmlformats.org/spreadsheetml/2006/main" count="54" uniqueCount="28">
  <si>
    <t>Ciss</t>
    <phoneticPr fontId="3" type="noConversion"/>
  </si>
  <si>
    <t>Coss</t>
    <phoneticPr fontId="3" type="noConversion"/>
  </si>
  <si>
    <t>Crss</t>
    <phoneticPr fontId="3" type="noConversion"/>
  </si>
  <si>
    <t>Rds(on)</t>
  </si>
  <si>
    <t>Vds(V)</t>
    <phoneticPr fontId="3" type="noConversion"/>
  </si>
  <si>
    <t>Ids(A)</t>
    <phoneticPr fontId="3" type="noConversion"/>
  </si>
  <si>
    <t>VGS</t>
  </si>
  <si>
    <t>Rg</t>
    <phoneticPr fontId="3" type="noConversion"/>
  </si>
  <si>
    <t>Vgs(V)</t>
    <phoneticPr fontId="3" type="noConversion"/>
  </si>
  <si>
    <t>Vds</t>
    <phoneticPr fontId="3" type="noConversion"/>
  </si>
  <si>
    <t>VTH</t>
    <phoneticPr fontId="3" type="noConversion"/>
  </si>
  <si>
    <t>Vsd</t>
    <phoneticPr fontId="3" type="noConversion"/>
  </si>
  <si>
    <t>Isd</t>
    <phoneticPr fontId="3" type="noConversion"/>
  </si>
  <si>
    <t>Tj</t>
    <phoneticPr fontId="3" type="noConversion"/>
  </si>
  <si>
    <t>Vds_V</t>
  </si>
  <si>
    <t>Ciss_pF</t>
  </si>
  <si>
    <t>Crss_pF</t>
    <phoneticPr fontId="3" type="noConversion"/>
  </si>
  <si>
    <t>x</t>
  </si>
  <si>
    <t>y</t>
  </si>
  <si>
    <t>15V</t>
  </si>
  <si>
    <t>Coss_pF</t>
  </si>
  <si>
    <t>2726pF</t>
  </si>
  <si>
    <t>100pF</t>
  </si>
  <si>
    <t>6pF</t>
  </si>
  <si>
    <t>Eon</t>
  </si>
  <si>
    <t>Eoff</t>
  </si>
  <si>
    <t>39m</t>
  </si>
  <si>
    <t>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</si>
</sst>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1"/>
      <color rgb="FF000000"/>
      <name val="新細明體"/>
      <family val="1"/>
      <charset val="136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2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2">
    <cellStyle name="Normal" xfId="0" builtinId="0"/>
    <cellStyle name="一般 2" xfId="1" xr:uid="{1658029B-9C21-4EC5-95DB-C2709D833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Output!$C$2:$C$31</c:f>
              <c:numCache>
                <c:formatCode>General</c:formatCode>
                <c:ptCount val="30"/>
                <c:pt idx="0">
                  <c:v>0</c:v>
                </c:pt>
                <c:pt idx="1">
                  <c:v>0.14983004031021799</c:v>
                </c:pt>
                <c:pt idx="2">
                  <c:v>0.31328023760063201</c:v>
                </c:pt>
                <c:pt idx="3">
                  <c:v>0.51759350380915403</c:v>
                </c:pt>
                <c:pt idx="4">
                  <c:v>0.73552796618887994</c:v>
                </c:pt>
                <c:pt idx="5">
                  <c:v>0.99432445829570504</c:v>
                </c:pt>
                <c:pt idx="6">
                  <c:v>1.1577751751816201</c:v>
                </c:pt>
                <c:pt idx="7">
                  <c:v>1.3757091179658401</c:v>
                </c:pt>
                <c:pt idx="8">
                  <c:v>1.5936440999410699</c:v>
                </c:pt>
                <c:pt idx="9">
                  <c:v>1.8115780427252901</c:v>
                </c:pt>
                <c:pt idx="10">
                  <c:v>2.07037505442762</c:v>
                </c:pt>
                <c:pt idx="11">
                  <c:v>2.3291710269389401</c:v>
                </c:pt>
                <c:pt idx="12">
                  <c:v>2.6015887152169701</c:v>
                </c:pt>
                <c:pt idx="13">
                  <c:v>2.8603857269192998</c:v>
                </c:pt>
                <c:pt idx="14">
                  <c:v>3.11918273862163</c:v>
                </c:pt>
                <c:pt idx="15">
                  <c:v>3.4460841723934701</c:v>
                </c:pt>
                <c:pt idx="16">
                  <c:v>3.7048811840957998</c:v>
                </c:pt>
                <c:pt idx="17">
                  <c:v>4.00454022552523</c:v>
                </c:pt>
                <c:pt idx="18">
                  <c:v>4.3178209827213703</c:v>
                </c:pt>
                <c:pt idx="19">
                  <c:v>4.64472137730219</c:v>
                </c:pt>
                <c:pt idx="20">
                  <c:v>4.98524348764973</c:v>
                </c:pt>
                <c:pt idx="21">
                  <c:v>5.32576559799727</c:v>
                </c:pt>
                <c:pt idx="22">
                  <c:v>5.7343921304143102</c:v>
                </c:pt>
                <c:pt idx="23">
                  <c:v>6.1293979862556602</c:v>
                </c:pt>
              </c:numCache>
            </c:numRef>
          </c:xVal>
          <c:yVal>
            <c:numRef>
              <c:f>Output!$D$2:$D$31</c:f>
              <c:numCache>
                <c:formatCode>General</c:formatCode>
                <c:ptCount val="30"/>
                <c:pt idx="0">
                  <c:v>0</c:v>
                </c:pt>
                <c:pt idx="1">
                  <c:v>3.85133911585396</c:v>
                </c:pt>
                <c:pt idx="2">
                  <c:v>8.5135076292417295</c:v>
                </c:pt>
                <c:pt idx="3">
                  <c:v>13.581075376406901</c:v>
                </c:pt>
                <c:pt idx="4">
                  <c:v>19.459457056116399</c:v>
                </c:pt>
                <c:pt idx="5">
                  <c:v>25.3378310033312</c:v>
                </c:pt>
                <c:pt idx="6">
                  <c:v>29.391885201063399</c:v>
                </c:pt>
                <c:pt idx="7">
                  <c:v>34.864859914500798</c:v>
                </c:pt>
                <c:pt idx="8">
                  <c:v>39.527020695393801</c:v>
                </c:pt>
                <c:pt idx="9">
                  <c:v>44.797295791942503</c:v>
                </c:pt>
                <c:pt idx="10">
                  <c:v>50.472970122268599</c:v>
                </c:pt>
                <c:pt idx="11">
                  <c:v>56.148644452594603</c:v>
                </c:pt>
                <c:pt idx="12">
                  <c:v>61.621619166031998</c:v>
                </c:pt>
                <c:pt idx="13">
                  <c:v>66.891886530085998</c:v>
                </c:pt>
                <c:pt idx="14">
                  <c:v>71.959454277251197</c:v>
                </c:pt>
                <c:pt idx="15">
                  <c:v>77.635132473824598</c:v>
                </c:pt>
                <c:pt idx="16">
                  <c:v>82.702700220989797</c:v>
                </c:pt>
                <c:pt idx="17">
                  <c:v>88.378378417563297</c:v>
                </c:pt>
                <c:pt idx="18">
                  <c:v>93.445946164728497</c:v>
                </c:pt>
                <c:pt idx="19">
                  <c:v>98.513513911893696</c:v>
                </c:pt>
                <c:pt idx="20">
                  <c:v>103.37837817592199</c:v>
                </c:pt>
                <c:pt idx="21">
                  <c:v>108.85135288936</c:v>
                </c:pt>
                <c:pt idx="22">
                  <c:v>114.527027219686</c:v>
                </c:pt>
                <c:pt idx="23">
                  <c:v>119.59459496685101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E-47A6-B593-D2A23B671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216543"/>
        <c:axId val="2129229439"/>
      </c:scatterChart>
      <c:valAx>
        <c:axId val="2129216543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29439"/>
        <c:crosses val="autoZero"/>
        <c:crossBetween val="midCat"/>
      </c:valAx>
      <c:valAx>
        <c:axId val="2129229439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1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Transfer!$D$1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Transfer!$C$2:$C$27</c:f>
              <c:numCache>
                <c:formatCode>General</c:formatCode>
                <c:ptCount val="26"/>
                <c:pt idx="0">
                  <c:v>0</c:v>
                </c:pt>
                <c:pt idx="1">
                  <c:v>3.5903341806438598</c:v>
                </c:pt>
                <c:pt idx="2">
                  <c:v>4.1081707653371202</c:v>
                </c:pt>
                <c:pt idx="3">
                  <c:v>4.4706561112370897</c:v>
                </c:pt>
                <c:pt idx="4">
                  <c:v>5.0057536520348203</c:v>
                </c:pt>
                <c:pt idx="5">
                  <c:v>5.4200231831747301</c:v>
                </c:pt>
                <c:pt idx="6">
                  <c:v>5.8688146265235801</c:v>
                </c:pt>
                <c:pt idx="7">
                  <c:v>6.2485609285280201</c:v>
                </c:pt>
                <c:pt idx="8">
                  <c:v>6.6283085474589996</c:v>
                </c:pt>
                <c:pt idx="9">
                  <c:v>7.0080548494634396</c:v>
                </c:pt>
                <c:pt idx="10">
                  <c:v>7.3360182831544796</c:v>
                </c:pt>
                <c:pt idx="11">
                  <c:v>7.6467207607410499</c:v>
                </c:pt>
                <c:pt idx="12">
                  <c:v>7.95742192140108</c:v>
                </c:pt>
                <c:pt idx="13">
                  <c:v>8.2681243989876503</c:v>
                </c:pt>
                <c:pt idx="14">
                  <c:v>8.6133487887831492</c:v>
                </c:pt>
                <c:pt idx="15">
                  <c:v>8.9585731785786606</c:v>
                </c:pt>
                <c:pt idx="16">
                  <c:v>9.2174914709252906</c:v>
                </c:pt>
                <c:pt idx="17">
                  <c:v>9.4936707193763894</c:v>
                </c:pt>
                <c:pt idx="18">
                  <c:v>9.73532805561854</c:v>
                </c:pt>
                <c:pt idx="19">
                  <c:v>9.9769853918606994</c:v>
                </c:pt>
                <c:pt idx="20">
                  <c:v>10.2531646403118</c:v>
                </c:pt>
                <c:pt idx="21">
                  <c:v>10.563865800971801</c:v>
                </c:pt>
                <c:pt idx="22">
                  <c:v>10.822784093318401</c:v>
                </c:pt>
                <c:pt idx="23">
                  <c:v>11.098964658696</c:v>
                </c:pt>
                <c:pt idx="24">
                  <c:v>11.392404863251601</c:v>
                </c:pt>
                <c:pt idx="25">
                  <c:v>11.651323155598201</c:v>
                </c:pt>
              </c:numCache>
            </c:numRef>
          </c:xVal>
          <c:yVal>
            <c:numRef>
              <c:f>Transfer!$D$2:$D$27</c:f>
              <c:numCache>
                <c:formatCode>0.00E+00</c:formatCode>
                <c:ptCount val="26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0.55076612795009605</c:v>
                </c:pt>
                <c:pt idx="3" formatCode="General">
                  <c:v>1.3769363302562601</c:v>
                </c:pt>
                <c:pt idx="4" formatCode="General">
                  <c:v>3.02925572448759</c:v>
                </c:pt>
                <c:pt idx="5" formatCode="General">
                  <c:v>5.2323622570500401</c:v>
                </c:pt>
                <c:pt idx="6" formatCode="General">
                  <c:v>8.8123841094877395</c:v>
                </c:pt>
                <c:pt idx="7" formatCode="General">
                  <c:v>12.117043908331301</c:v>
                </c:pt>
                <c:pt idx="8" formatCode="General">
                  <c:v>17.073991585834801</c:v>
                </c:pt>
                <c:pt idx="9" formatCode="General">
                  <c:v>22.306374853265801</c:v>
                </c:pt>
                <c:pt idx="10" formatCode="General">
                  <c:v>27.814120174290899</c:v>
                </c:pt>
                <c:pt idx="11" formatCode="General">
                  <c:v>34.974163879166298</c:v>
                </c:pt>
                <c:pt idx="12" formatCode="General">
                  <c:v>42.4096431739693</c:v>
                </c:pt>
                <c:pt idx="13" formatCode="General">
                  <c:v>50.395867586341303</c:v>
                </c:pt>
                <c:pt idx="14" formatCode="General">
                  <c:v>60.309815467300801</c:v>
                </c:pt>
                <c:pt idx="15" formatCode="General">
                  <c:v>71.049912540185403</c:v>
                </c:pt>
                <c:pt idx="16" formatCode="General">
                  <c:v>80.137700724029202</c:v>
                </c:pt>
                <c:pt idx="17" formatCode="General">
                  <c:v>89.776255035823098</c:v>
                </c:pt>
                <c:pt idx="18" formatCode="General">
                  <c:v>98.588639145310793</c:v>
                </c:pt>
                <c:pt idx="19" formatCode="General">
                  <c:v>107.12565069601401</c:v>
                </c:pt>
                <c:pt idx="20" formatCode="General">
                  <c:v>117.314976388353</c:v>
                </c:pt>
                <c:pt idx="21" formatCode="General">
                  <c:v>127.504296828097</c:v>
                </c:pt>
                <c:pt idx="22" formatCode="General">
                  <c:v>136.31670194796499</c:v>
                </c:pt>
                <c:pt idx="23" formatCode="General">
                  <c:v>144.85370036718101</c:v>
                </c:pt>
                <c:pt idx="24" formatCode="General">
                  <c:v>153.66609760815601</c:v>
                </c:pt>
                <c:pt idx="25" formatCode="General">
                  <c:v>159.449231245752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6-49FF-9B91-52579810E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8719"/>
        <c:axId val="93619135"/>
      </c:scatterChart>
      <c:valAx>
        <c:axId val="9361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9135"/>
        <c:crosses val="autoZero"/>
        <c:crossBetween val="midCat"/>
        <c:majorUnit val="3"/>
      </c:valAx>
      <c:valAx>
        <c:axId val="9361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3930555555555557"/>
          <c:w val="0.8838635170603674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'body diode'!$B$1</c:f>
              <c:strCache>
                <c:ptCount val="1"/>
                <c:pt idx="0">
                  <c:v>Isd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diode'!$A$2:$A$34</c:f>
              <c:numCache>
                <c:formatCode>General</c:formatCode>
                <c:ptCount val="33"/>
                <c:pt idx="0">
                  <c:v>0</c:v>
                </c:pt>
                <c:pt idx="1">
                  <c:v>1.7290753358991999</c:v>
                </c:pt>
                <c:pt idx="2">
                  <c:v>1.98237878799845</c:v>
                </c:pt>
                <c:pt idx="3">
                  <c:v>2.16960395545442</c:v>
                </c:pt>
                <c:pt idx="4">
                  <c:v>2.4229074075536698</c:v>
                </c:pt>
                <c:pt idx="5">
                  <c:v>2.63215866989073</c:v>
                </c:pt>
                <c:pt idx="6">
                  <c:v>2.8083699496644798</c:v>
                </c:pt>
                <c:pt idx="7">
                  <c:v>3.0286342594420899</c:v>
                </c:pt>
                <c:pt idx="8">
                  <c:v>3.25991161666024</c:v>
                </c:pt>
                <c:pt idx="9">
                  <c:v>3.4911898141200499</c:v>
                </c:pt>
                <c:pt idx="10">
                  <c:v>3.7004402362154498</c:v>
                </c:pt>
                <c:pt idx="11">
                  <c:v>3.9427314811158198</c:v>
                </c:pt>
                <c:pt idx="12">
                  <c:v>4.1850218857745203</c:v>
                </c:pt>
                <c:pt idx="13">
                  <c:v>4.39427314811158</c:v>
                </c:pt>
                <c:pt idx="14">
                  <c:v>4.5925113630080903</c:v>
                </c:pt>
                <c:pt idx="15">
                  <c:v>4.8127756727856896</c:v>
                </c:pt>
                <c:pt idx="16">
                  <c:v>5.0330399825632997</c:v>
                </c:pt>
                <c:pt idx="17">
                  <c:v>5.2973564821031003</c:v>
                </c:pt>
                <c:pt idx="18">
                  <c:v>5.50660774444016</c:v>
                </c:pt>
                <c:pt idx="19">
                  <c:v>5.7378851016583097</c:v>
                </c:pt>
                <c:pt idx="20">
                  <c:v>5.9471363639953703</c:v>
                </c:pt>
                <c:pt idx="21">
                  <c:v>6.1894276088957296</c:v>
                </c:pt>
                <c:pt idx="22">
                  <c:v>6.4096919186733397</c:v>
                </c:pt>
                <c:pt idx="23">
                  <c:v>6.61894234076874</c:v>
                </c:pt>
                <c:pt idx="24">
                  <c:v>6.8502205382285499</c:v>
                </c:pt>
                <c:pt idx="25">
                  <c:v>7.07048484800616</c:v>
                </c:pt>
                <c:pt idx="26">
                  <c:v>7.26872222266101</c:v>
                </c:pt>
                <c:pt idx="27">
                  <c:v>7.4559473901169699</c:v>
                </c:pt>
                <c:pt idx="28">
                  <c:v>7.67621169989458</c:v>
                </c:pt>
              </c:numCache>
            </c:numRef>
          </c:xVal>
          <c:yVal>
            <c:numRef>
              <c:f>'body diode'!$B$2:$B$34</c:f>
              <c:numCache>
                <c:formatCode>0.00E+00</c:formatCode>
                <c:ptCount val="33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0.58823381832400701</c:v>
                </c:pt>
                <c:pt idx="3" formatCode="General">
                  <c:v>1.9607843809459</c:v>
                </c:pt>
                <c:pt idx="4" formatCode="General">
                  <c:v>4.1176460780165698</c:v>
                </c:pt>
                <c:pt idx="5" formatCode="General">
                  <c:v>7.4509810215843704</c:v>
                </c:pt>
                <c:pt idx="6" formatCode="General">
                  <c:v>9.9999992208542796</c:v>
                </c:pt>
                <c:pt idx="7" formatCode="General">
                  <c:v>12.745096606198601</c:v>
                </c:pt>
                <c:pt idx="8" formatCode="General">
                  <c:v>15.686276917516899</c:v>
                </c:pt>
                <c:pt idx="9" formatCode="General">
                  <c:v>18.823528935110801</c:v>
                </c:pt>
                <c:pt idx="10" formatCode="General">
                  <c:v>21.960792172403</c:v>
                </c:pt>
                <c:pt idx="11" formatCode="General">
                  <c:v>25.882360934294798</c:v>
                </c:pt>
                <c:pt idx="12" formatCode="General">
                  <c:v>29.607843030313301</c:v>
                </c:pt>
                <c:pt idx="13" formatCode="General">
                  <c:v>33.529411792205103</c:v>
                </c:pt>
                <c:pt idx="14" formatCode="General">
                  <c:v>37.450980554096901</c:v>
                </c:pt>
                <c:pt idx="15" formatCode="General">
                  <c:v>41.764707688137598</c:v>
                </c:pt>
                <c:pt idx="16" formatCode="General">
                  <c:v>46.4705931943273</c:v>
                </c:pt>
                <c:pt idx="17" formatCode="General">
                  <c:v>52.156863411191203</c:v>
                </c:pt>
                <c:pt idx="18" formatCode="General">
                  <c:v>57.254907289529797</c:v>
                </c:pt>
                <c:pt idx="19" formatCode="General">
                  <c:v>62.745102060218599</c:v>
                </c:pt>
                <c:pt idx="20" formatCode="General">
                  <c:v>68.039221384732301</c:v>
                </c:pt>
                <c:pt idx="21" formatCode="General">
                  <c:v>74.705883792069102</c:v>
                </c:pt>
                <c:pt idx="22" formatCode="General">
                  <c:v>80.980410266653394</c:v>
                </c:pt>
                <c:pt idx="23" formatCode="General">
                  <c:v>87.058823896068503</c:v>
                </c:pt>
                <c:pt idx="24" formatCode="General">
                  <c:v>93.333335411055202</c:v>
                </c:pt>
                <c:pt idx="25" formatCode="General">
                  <c:v>99.803929852015699</c:v>
                </c:pt>
                <c:pt idx="26" formatCode="General">
                  <c:v>105.882358441028</c:v>
                </c:pt>
                <c:pt idx="27" formatCode="General">
                  <c:v>112.549028328164</c:v>
                </c:pt>
                <c:pt idx="28" formatCode="General">
                  <c:v>119.607849107649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C-49FD-A5EE-ACAD64F34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9967"/>
        <c:axId val="93622463"/>
      </c:scatterChart>
      <c:valAx>
        <c:axId val="93619967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22463"/>
        <c:crossesAt val="0.1"/>
        <c:crossBetween val="midCat"/>
      </c:valAx>
      <c:valAx>
        <c:axId val="9362246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7171296296296298"/>
          <c:w val="0.8585301837270341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Ciss!$B$1</c:f>
              <c:strCache>
                <c:ptCount val="1"/>
                <c:pt idx="0">
                  <c:v>Ciss_pF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Ciss!$A$2:$A$34</c:f>
              <c:numCache>
                <c:formatCode>General</c:formatCode>
                <c:ptCount val="33"/>
                <c:pt idx="0">
                  <c:v>0</c:v>
                </c:pt>
                <c:pt idx="1">
                  <c:v>4.4117531561942602</c:v>
                </c:pt>
                <c:pt idx="2">
                  <c:v>11.7646937826797</c:v>
                </c:pt>
                <c:pt idx="3">
                  <c:v>32.352949976232999</c:v>
                </c:pt>
                <c:pt idx="4">
                  <c:v>69.117709207145097</c:v>
                </c:pt>
                <c:pt idx="5">
                  <c:v>116.176484337863</c:v>
                </c:pt>
                <c:pt idx="6">
                  <c:v>163.235259468582</c:v>
                </c:pt>
                <c:pt idx="7">
                  <c:v>210.29414679627101</c:v>
                </c:pt>
                <c:pt idx="8">
                  <c:v>257.35292192699001</c:v>
                </c:pt>
                <c:pt idx="9">
                  <c:v>308.82350631238802</c:v>
                </c:pt>
                <c:pt idx="10">
                  <c:v>367.64703132427201</c:v>
                </c:pt>
                <c:pt idx="11">
                  <c:v>414.70591865196002</c:v>
                </c:pt>
                <c:pt idx="12">
                  <c:v>460.29412809677598</c:v>
                </c:pt>
                <c:pt idx="13">
                  <c:v>502.94120616978603</c:v>
                </c:pt>
                <c:pt idx="14">
                  <c:v>549.99998130050403</c:v>
                </c:pt>
                <c:pt idx="15">
                  <c:v>600</c:v>
                </c:pt>
                <c:pt idx="16">
                  <c:v>655.88228144310699</c:v>
                </c:pt>
                <c:pt idx="17">
                  <c:v>716.17648433786405</c:v>
                </c:pt>
                <c:pt idx="18">
                  <c:v>769.11763440916502</c:v>
                </c:pt>
                <c:pt idx="19">
                  <c:v>817.64697522578695</c:v>
                </c:pt>
                <c:pt idx="20">
                  <c:v>872.05880317996105</c:v>
                </c:pt>
                <c:pt idx="21">
                  <c:v>924.99995325126201</c:v>
                </c:pt>
                <c:pt idx="22">
                  <c:v>985.29404394904896</c:v>
                </c:pt>
                <c:pt idx="23">
                  <c:v>1194.11751286244</c:v>
                </c:pt>
              </c:numCache>
            </c:numRef>
          </c:xVal>
          <c:yVal>
            <c:numRef>
              <c:f>Ciss!$B$2:$B$34</c:f>
              <c:numCache>
                <c:formatCode>General</c:formatCode>
                <c:ptCount val="33"/>
                <c:pt idx="0">
                  <c:v>4013.0842812466099</c:v>
                </c:pt>
                <c:pt idx="1">
                  <c:v>3258.6937876726902</c:v>
                </c:pt>
                <c:pt idx="2">
                  <c:v>2776.3763509330902</c:v>
                </c:pt>
                <c:pt idx="3">
                  <c:v>2821.20569539095</c:v>
                </c:pt>
                <c:pt idx="4">
                  <c:v>2821.20569539095</c:v>
                </c:pt>
                <c:pt idx="5">
                  <c:v>2821.20569539095</c:v>
                </c:pt>
                <c:pt idx="6">
                  <c:v>2821.20569539095</c:v>
                </c:pt>
                <c:pt idx="7">
                  <c:v>2821.20569539095</c:v>
                </c:pt>
                <c:pt idx="8">
                  <c:v>2821.20569539095</c:v>
                </c:pt>
                <c:pt idx="9">
                  <c:v>2821.20569539095</c:v>
                </c:pt>
                <c:pt idx="10">
                  <c:v>2821.20569539095</c:v>
                </c:pt>
                <c:pt idx="11">
                  <c:v>2821.20569539095</c:v>
                </c:pt>
                <c:pt idx="12">
                  <c:v>2821.20569539095</c:v>
                </c:pt>
                <c:pt idx="13">
                  <c:v>2821.20569539095</c:v>
                </c:pt>
                <c:pt idx="14">
                  <c:v>2821.20569539095</c:v>
                </c:pt>
                <c:pt idx="15">
                  <c:v>2821.20569539095</c:v>
                </c:pt>
                <c:pt idx="16">
                  <c:v>2821.20569539095</c:v>
                </c:pt>
                <c:pt idx="17">
                  <c:v>2821.20569539095</c:v>
                </c:pt>
                <c:pt idx="18">
                  <c:v>2821.20569539095</c:v>
                </c:pt>
                <c:pt idx="19">
                  <c:v>2821.20569539095</c:v>
                </c:pt>
                <c:pt idx="20">
                  <c:v>2821.20569539095</c:v>
                </c:pt>
                <c:pt idx="21">
                  <c:v>2821.20569539095</c:v>
                </c:pt>
                <c:pt idx="22">
                  <c:v>2821.20569539095</c:v>
                </c:pt>
                <c:pt idx="23">
                  <c:v>2821.20569539095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E-4D81-B8F8-5725DF07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80191"/>
        <c:axId val="158679359"/>
      </c:scatterChart>
      <c:valAx>
        <c:axId val="15868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79359"/>
        <c:crosses val="autoZero"/>
        <c:crossBetween val="midCat"/>
      </c:valAx>
      <c:valAx>
        <c:axId val="158679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8019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Coss!$B$1</c:f>
              <c:strCache>
                <c:ptCount val="1"/>
                <c:pt idx="0">
                  <c:v>Coss_pF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Coss!$A$2:$A$32</c:f>
              <c:numCache>
                <c:formatCode>General</c:formatCode>
                <c:ptCount val="31"/>
                <c:pt idx="0">
                  <c:v>0</c:v>
                </c:pt>
                <c:pt idx="1">
                  <c:v>2.94118747029118</c:v>
                </c:pt>
                <c:pt idx="2">
                  <c:v>7.3529406264855002</c:v>
                </c:pt>
                <c:pt idx="3">
                  <c:v>10.2941280967766</c:v>
                </c:pt>
                <c:pt idx="4">
                  <c:v>13.235315567067801</c:v>
                </c:pt>
                <c:pt idx="5">
                  <c:v>22.0588218794563</c:v>
                </c:pt>
                <c:pt idx="6">
                  <c:v>35.294137446524097</c:v>
                </c:pt>
                <c:pt idx="7">
                  <c:v>52.941150071301102</c:v>
                </c:pt>
                <c:pt idx="8">
                  <c:v>76.470649833630503</c:v>
                </c:pt>
                <c:pt idx="9">
                  <c:v>101.470603084893</c:v>
                </c:pt>
                <c:pt idx="10">
                  <c:v>133.823496962641</c:v>
                </c:pt>
                <c:pt idx="11">
                  <c:v>166.176503037359</c:v>
                </c:pt>
                <c:pt idx="12">
                  <c:v>204.41177185568901</c:v>
                </c:pt>
                <c:pt idx="13">
                  <c:v>248.52941561460099</c:v>
                </c:pt>
                <c:pt idx="14">
                  <c:v>289.705928001708</c:v>
                </c:pt>
                <c:pt idx="15">
                  <c:v>333.82357176062101</c:v>
                </c:pt>
                <c:pt idx="16">
                  <c:v>374.99997195075701</c:v>
                </c:pt>
                <c:pt idx="17">
                  <c:v>419.11761570967002</c:v>
                </c:pt>
                <c:pt idx="18">
                  <c:v>463.235259468582</c:v>
                </c:pt>
                <c:pt idx="19">
                  <c:v>507.35290322749501</c:v>
                </c:pt>
                <c:pt idx="20">
                  <c:v>558.82348761289302</c:v>
                </c:pt>
                <c:pt idx="21">
                  <c:v>622.05882187945599</c:v>
                </c:pt>
                <c:pt idx="22">
                  <c:v>679.411781205436</c:v>
                </c:pt>
                <c:pt idx="23">
                  <c:v>738.23530621732004</c:v>
                </c:pt>
                <c:pt idx="24">
                  <c:v>802.94109397281602</c:v>
                </c:pt>
                <c:pt idx="25">
                  <c:v>876.47050023766997</c:v>
                </c:pt>
                <c:pt idx="26">
                  <c:v>945.58820944481499</c:v>
                </c:pt>
                <c:pt idx="27">
                  <c:v>1019.11761570967</c:v>
                </c:pt>
                <c:pt idx="28">
                  <c:v>1094.1176998573901</c:v>
                </c:pt>
                <c:pt idx="29">
                  <c:v>1154.4116783582101</c:v>
                </c:pt>
                <c:pt idx="30">
                  <c:v>1201.4704534889299</c:v>
                </c:pt>
              </c:numCache>
            </c:numRef>
          </c:xVal>
          <c:yVal>
            <c:numRef>
              <c:f>Coss!$B$2:$B$32</c:f>
              <c:numCache>
                <c:formatCode>General</c:formatCode>
                <c:ptCount val="31"/>
                <c:pt idx="0">
                  <c:v>2960.0864601338699</c:v>
                </c:pt>
                <c:pt idx="1">
                  <c:v>2080.9462734695298</c:v>
                </c:pt>
                <c:pt idx="2">
                  <c:v>1372.1174225432501</c:v>
                </c:pt>
                <c:pt idx="3">
                  <c:v>964.60138850930196</c:v>
                </c:pt>
                <c:pt idx="4">
                  <c:v>722.98687608665102</c:v>
                </c:pt>
                <c:pt idx="5">
                  <c:v>568.56823087655005</c:v>
                </c:pt>
                <c:pt idx="6">
                  <c:v>426.15244845337998</c:v>
                </c:pt>
                <c:pt idx="7">
                  <c:v>329.80776834616597</c:v>
                </c:pt>
                <c:pt idx="8">
                  <c:v>272.13385153344097</c:v>
                </c:pt>
                <c:pt idx="9">
                  <c:v>239.403474112754</c:v>
                </c:pt>
                <c:pt idx="10">
                  <c:v>210.60968010520699</c:v>
                </c:pt>
                <c:pt idx="11">
                  <c:v>185.279004485652</c:v>
                </c:pt>
                <c:pt idx="12">
                  <c:v>168.30108647842101</c:v>
                </c:pt>
                <c:pt idx="13">
                  <c:v>152.87902207943401</c:v>
                </c:pt>
                <c:pt idx="14">
                  <c:v>143.39093722234901</c:v>
                </c:pt>
                <c:pt idx="15">
                  <c:v>134.49179070718901</c:v>
                </c:pt>
                <c:pt idx="16">
                  <c:v>126.1448670714</c:v>
                </c:pt>
                <c:pt idx="17">
                  <c:v>122.167725162843</c:v>
                </c:pt>
                <c:pt idx="18">
                  <c:v>114.58573632374301</c:v>
                </c:pt>
                <c:pt idx="19">
                  <c:v>110.973034953991</c:v>
                </c:pt>
                <c:pt idx="20">
                  <c:v>107.47423616588399</c:v>
                </c:pt>
                <c:pt idx="21">
                  <c:v>100.804094907639</c:v>
                </c:pt>
                <c:pt idx="22">
                  <c:v>99.202304048943702</c:v>
                </c:pt>
                <c:pt idx="23">
                  <c:v>99.202304048943702</c:v>
                </c:pt>
                <c:pt idx="24">
                  <c:v>99.202304048943702</c:v>
                </c:pt>
                <c:pt idx="25">
                  <c:v>100.804094907639</c:v>
                </c:pt>
                <c:pt idx="26">
                  <c:v>99.202304048943702</c:v>
                </c:pt>
                <c:pt idx="27">
                  <c:v>100.804094907639</c:v>
                </c:pt>
                <c:pt idx="28">
                  <c:v>99.202304048943702</c:v>
                </c:pt>
                <c:pt idx="29">
                  <c:v>100.804094907639</c:v>
                </c:pt>
                <c:pt idx="30">
                  <c:v>100.804094907639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F-4FDA-9AAF-5CF13E9F2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3311"/>
        <c:axId val="93614559"/>
      </c:scatterChart>
      <c:valAx>
        <c:axId val="9361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4559"/>
        <c:crosses val="autoZero"/>
        <c:crossBetween val="midCat"/>
      </c:valAx>
      <c:valAx>
        <c:axId val="936145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33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Crss_pF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Crss!$B$1:$B$2</c:f>
              <c:strCache>
                <c:ptCount val="2"/>
                <c:pt idx="0">
                  <c:v>Crss_pF</c:v>
                </c:pt>
                <c:pt idx="1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Crss!$A$3:$A$38</c:f>
              <c:numCache>
                <c:formatCode>General</c:formatCode>
                <c:ptCount val="36"/>
                <c:pt idx="0">
                  <c:v>0</c:v>
                </c:pt>
                <c:pt idx="1">
                  <c:v>1.4706217843881</c:v>
                </c:pt>
                <c:pt idx="2">
                  <c:v>2.94118747029118</c:v>
                </c:pt>
                <c:pt idx="3">
                  <c:v>5.8823749405823698</c:v>
                </c:pt>
                <c:pt idx="4">
                  <c:v>5.8823749405823698</c:v>
                </c:pt>
                <c:pt idx="5">
                  <c:v>10.2941280967766</c:v>
                </c:pt>
                <c:pt idx="6">
                  <c:v>10.2941280967766</c:v>
                </c:pt>
                <c:pt idx="7">
                  <c:v>11.7646937826797</c:v>
                </c:pt>
                <c:pt idx="8">
                  <c:v>22.0588218794563</c:v>
                </c:pt>
                <c:pt idx="9">
                  <c:v>33.823515662136003</c:v>
                </c:pt>
                <c:pt idx="10">
                  <c:v>55.882393640077296</c:v>
                </c:pt>
                <c:pt idx="11">
                  <c:v>83.823590460115994</c:v>
                </c:pt>
                <c:pt idx="12">
                  <c:v>130.88236559083401</c:v>
                </c:pt>
                <c:pt idx="13">
                  <c:v>189.705890602718</c:v>
                </c:pt>
                <c:pt idx="14">
                  <c:v>236.764665733437</c:v>
                </c:pt>
                <c:pt idx="15">
                  <c:v>286.76468443293197</c:v>
                </c:pt>
                <c:pt idx="16">
                  <c:v>348.52945301359102</c:v>
                </c:pt>
                <c:pt idx="17">
                  <c:v>397.05879383021301</c:v>
                </c:pt>
                <c:pt idx="18">
                  <c:v>449.999943901515</c:v>
                </c:pt>
                <c:pt idx="19">
                  <c:v>501.47052828691301</c:v>
                </c:pt>
                <c:pt idx="20">
                  <c:v>563.23529686757195</c:v>
                </c:pt>
                <c:pt idx="21">
                  <c:v>622.05882187945599</c:v>
                </c:pt>
                <c:pt idx="22">
                  <c:v>688.23528751782499</c:v>
                </c:pt>
                <c:pt idx="23">
                  <c:v>761.76469378267905</c:v>
                </c:pt>
                <c:pt idx="24">
                  <c:v>841.17647498811596</c:v>
                </c:pt>
                <c:pt idx="25">
                  <c:v>919.11757831067996</c:v>
                </c:pt>
                <c:pt idx="26">
                  <c:v>1004.4117344566901</c:v>
                </c:pt>
                <c:pt idx="27">
                  <c:v>1080.8822720933499</c:v>
                </c:pt>
                <c:pt idx="28">
                  <c:v>1147.0587377317199</c:v>
                </c:pt>
                <c:pt idx="29">
                  <c:v>1200</c:v>
                </c:pt>
              </c:numCache>
            </c:numRef>
          </c:xVal>
          <c:yVal>
            <c:numRef>
              <c:f>Crss!$B$3:$B$38</c:f>
              <c:numCache>
                <c:formatCode>General</c:formatCode>
                <c:ptCount val="36"/>
                <c:pt idx="0">
                  <c:v>980.17652762740897</c:v>
                </c:pt>
                <c:pt idx="1">
                  <c:v>656.73685717152705</c:v>
                </c:pt>
                <c:pt idx="2">
                  <c:v>433.03380545665101</c:v>
                </c:pt>
                <c:pt idx="3">
                  <c:v>224.54544816147299</c:v>
                </c:pt>
                <c:pt idx="4">
                  <c:v>136.663390681501</c:v>
                </c:pt>
                <c:pt idx="5">
                  <c:v>80.553985232199096</c:v>
                </c:pt>
                <c:pt idx="6">
                  <c:v>56.629601074045503</c:v>
                </c:pt>
                <c:pt idx="7">
                  <c:v>33.379385846318499</c:v>
                </c:pt>
                <c:pt idx="8">
                  <c:v>24.229692876643298</c:v>
                </c:pt>
                <c:pt idx="9">
                  <c:v>17.033519046832801</c:v>
                </c:pt>
                <c:pt idx="10">
                  <c:v>13.6117188948808</c:v>
                </c:pt>
                <c:pt idx="11">
                  <c:v>11.2314266302494</c:v>
                </c:pt>
                <c:pt idx="12">
                  <c:v>9.5690694846583995</c:v>
                </c:pt>
                <c:pt idx="13">
                  <c:v>8.2843869652102899</c:v>
                </c:pt>
                <c:pt idx="14">
                  <c:v>7.77024503955922</c:v>
                </c:pt>
                <c:pt idx="15">
                  <c:v>7.2880071073354404</c:v>
                </c:pt>
                <c:pt idx="16">
                  <c:v>6.7270736016847197</c:v>
                </c:pt>
                <c:pt idx="17">
                  <c:v>6.5149719815133098</c:v>
                </c:pt>
                <c:pt idx="18">
                  <c:v>6.3095732520326102</c:v>
                </c:pt>
                <c:pt idx="19">
                  <c:v>5.9179877173700799</c:v>
                </c:pt>
                <c:pt idx="20">
                  <c:v>5.7314032172512102</c:v>
                </c:pt>
                <c:pt idx="21">
                  <c:v>5.6403269895855797</c:v>
                </c:pt>
                <c:pt idx="22">
                  <c:v>5.7314032172512102</c:v>
                </c:pt>
                <c:pt idx="23">
                  <c:v>5.82394652427321</c:v>
                </c:pt>
                <c:pt idx="24">
                  <c:v>5.82394652427321</c:v>
                </c:pt>
                <c:pt idx="25">
                  <c:v>5.9179877173700799</c:v>
                </c:pt>
                <c:pt idx="26">
                  <c:v>6.0135364012532202</c:v>
                </c:pt>
                <c:pt idx="27">
                  <c:v>6.1106426987064397</c:v>
                </c:pt>
                <c:pt idx="28">
                  <c:v>6.1106426987064397</c:v>
                </c:pt>
                <c:pt idx="29">
                  <c:v>6.2093132698698303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5E-422F-B696-ECA36716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10511"/>
        <c:axId val="100794703"/>
      </c:scatterChart>
      <c:valAx>
        <c:axId val="10081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794703"/>
        <c:crosses val="autoZero"/>
        <c:crossBetween val="midCat"/>
      </c:valAx>
      <c:valAx>
        <c:axId val="1007947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8105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163848</xdr:colOff>
      <xdr:row>3</xdr:row>
      <xdr:rowOff>7620</xdr:rowOff>
    </xdr:from>
    <xdr:to>
      <xdr:col>16</xdr:col>
      <xdr:colOff>152400</xdr:colOff>
      <xdr:row>8</xdr:row>
      <xdr:rowOff>30480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2D71D97-B6AF-B26F-FCAE-6D4DA4A01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8408" y="579120"/>
          <a:ext cx="9498312" cy="975360"/>
        </a:xfrm>
        <a:prstGeom prst="rect">
          <a:avLst/>
        </a:prstGeom>
      </xdr:spPr>
    </xdr:pic>
    <xdr:clientData/>
  </xdr:twoCellAnchor>
  <xdr:twoCellAnchor>
    <xdr:from>
      <xdr:col>9</xdr:col>
      <xdr:colOff>160020</xdr:colOff>
      <xdr:row>3</xdr:row>
      <xdr:rowOff>45720</xdr:rowOff>
    </xdr:from>
    <xdr:to>
      <xdr:col>11</xdr:col>
      <xdr:colOff>510540</xdr:colOff>
      <xdr:row>8</xdr:row>
      <xdr:rowOff>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A16EE67-7882-4A07-9CEA-7CC27B90EE24}"/>
            </a:ext>
          </a:extLst>
        </xdr:cNvPr>
        <xdr:cNvSpPr/>
      </xdr:nvSpPr>
      <xdr:spPr>
        <a:xfrm>
          <a:off x="6743700" y="617220"/>
          <a:ext cx="1813560" cy="9067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2</xdr:row>
      <xdr:rowOff>167640</xdr:rowOff>
    </xdr:from>
    <xdr:to>
      <xdr:col>13</xdr:col>
      <xdr:colOff>716280</xdr:colOff>
      <xdr:row>6</xdr:row>
      <xdr:rowOff>168710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1ACCB49E-9248-8604-F9E7-AA5EC537F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548640"/>
          <a:ext cx="9235440" cy="763070"/>
        </a:xfrm>
        <a:prstGeom prst="rect">
          <a:avLst/>
        </a:prstGeom>
      </xdr:spPr>
    </xdr:pic>
    <xdr:clientData/>
  </xdr:twoCellAnchor>
  <xdr:twoCellAnchor>
    <xdr:from>
      <xdr:col>8</xdr:col>
      <xdr:colOff>251460</xdr:colOff>
      <xdr:row>3</xdr:row>
      <xdr:rowOff>99060</xdr:rowOff>
    </xdr:from>
    <xdr:to>
      <xdr:col>9</xdr:col>
      <xdr:colOff>53340</xdr:colOff>
      <xdr:row>4</xdr:row>
      <xdr:rowOff>137160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124629B-9DA4-4C64-AB0C-BD7400C0EA0F}"/>
            </a:ext>
          </a:extLst>
        </xdr:cNvPr>
        <xdr:cNvSpPr/>
      </xdr:nvSpPr>
      <xdr:spPr>
        <a:xfrm>
          <a:off x="6103620" y="670560"/>
          <a:ext cx="53340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3</xdr:col>
      <xdr:colOff>297180</xdr:colOff>
      <xdr:row>11</xdr:row>
      <xdr:rowOff>167640</xdr:rowOff>
    </xdr:from>
    <xdr:to>
      <xdr:col>10</xdr:col>
      <xdr:colOff>296540</xdr:colOff>
      <xdr:row>26</xdr:row>
      <xdr:rowOff>190140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949FFB46-A25A-9835-E059-74F7EBB21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740" y="2263140"/>
          <a:ext cx="5120000" cy="288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411480</xdr:colOff>
      <xdr:row>1</xdr:row>
      <xdr:rowOff>91440</xdr:rowOff>
    </xdr:from>
    <xdr:to>
      <xdr:col>12</xdr:col>
      <xdr:colOff>152986</xdr:colOff>
      <xdr:row>21</xdr:row>
      <xdr:rowOff>15240</xdr:rowOff>
    </xdr:to>
    <xdr:pic>
      <xdr:nvPicPr>
        <xdr:cNvPr id="26" name="รูปภาพ 25">
          <a:extLst>
            <a:ext uri="{FF2B5EF4-FFF2-40B4-BE49-F238E27FC236}">
              <a16:creationId xmlns:a16="http://schemas.microsoft.com/office/drawing/2014/main" id="{9D1FE7A9-70CD-A389-F7B1-845B94BB5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9080" y="281940"/>
          <a:ext cx="4862146" cy="3733800"/>
        </a:xfrm>
        <a:prstGeom prst="rect">
          <a:avLst/>
        </a:prstGeom>
      </xdr:spPr>
    </xdr:pic>
    <xdr:clientData/>
  </xdr:twoCellAnchor>
  <xdr:twoCellAnchor>
    <xdr:from>
      <xdr:col>7</xdr:col>
      <xdr:colOff>358140</xdr:colOff>
      <xdr:row>6</xdr:row>
      <xdr:rowOff>22860</xdr:rowOff>
    </xdr:from>
    <xdr:to>
      <xdr:col>8</xdr:col>
      <xdr:colOff>38100</xdr:colOff>
      <xdr:row>6</xdr:row>
      <xdr:rowOff>137160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E7E33A5D-11C4-4CB8-85FE-CB0524B04D99}"/>
            </a:ext>
          </a:extLst>
        </xdr:cNvPr>
        <xdr:cNvCxnSpPr/>
      </xdr:nvCxnSpPr>
      <xdr:spPr>
        <a:xfrm>
          <a:off x="5478780" y="1165860"/>
          <a:ext cx="411480" cy="11430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560070</xdr:colOff>
      <xdr:row>3</xdr:row>
      <xdr:rowOff>144780</xdr:rowOff>
    </xdr:from>
    <xdr:to>
      <xdr:col>20</xdr:col>
      <xdr:colOff>255270</xdr:colOff>
      <xdr:row>17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97FA0D6-7A1D-4294-B037-84FFC3664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13253</xdr:colOff>
      <xdr:row>2</xdr:row>
      <xdr:rowOff>59634</xdr:rowOff>
    </xdr:from>
    <xdr:to>
      <xdr:col>11</xdr:col>
      <xdr:colOff>496958</xdr:colOff>
      <xdr:row>3</xdr:row>
      <xdr:rowOff>172841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16DA4B12-E2FC-AF21-D8A6-04D0177DF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123" y="443947"/>
          <a:ext cx="7772400" cy="305364"/>
        </a:xfrm>
        <a:prstGeom prst="rect">
          <a:avLst/>
        </a:prstGeom>
      </xdr:spPr>
    </xdr:pic>
    <xdr:clientData/>
  </xdr:twoCellAnchor>
  <xdr:twoCellAnchor>
    <xdr:from>
      <xdr:col>6</xdr:col>
      <xdr:colOff>231913</xdr:colOff>
      <xdr:row>2</xdr:row>
      <xdr:rowOff>139148</xdr:rowOff>
    </xdr:from>
    <xdr:to>
      <xdr:col>8</xdr:col>
      <xdr:colOff>410816</xdr:colOff>
      <xdr:row>3</xdr:row>
      <xdr:rowOff>139148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266C933-3935-45FE-BB1E-ECE9BAB04F11}"/>
            </a:ext>
          </a:extLst>
        </xdr:cNvPr>
        <xdr:cNvSpPr/>
      </xdr:nvSpPr>
      <xdr:spPr>
        <a:xfrm>
          <a:off x="4605130" y="523461"/>
          <a:ext cx="1636643" cy="1921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594361</xdr:colOff>
      <xdr:row>1</xdr:row>
      <xdr:rowOff>96294</xdr:rowOff>
    </xdr:from>
    <xdr:to>
      <xdr:col>12</xdr:col>
      <xdr:colOff>525781</xdr:colOff>
      <xdr:row>22</xdr:row>
      <xdr:rowOff>69324</xdr:rowOff>
    </xdr:to>
    <xdr:pic>
      <xdr:nvPicPr>
        <xdr:cNvPr id="33" name="รูปภาพ 32">
          <a:extLst>
            <a:ext uri="{FF2B5EF4-FFF2-40B4-BE49-F238E27FC236}">
              <a16:creationId xmlns:a16="http://schemas.microsoft.com/office/drawing/2014/main" id="{D790F322-305B-5FB4-3B82-12315AC24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221" y="286794"/>
          <a:ext cx="5052060" cy="3973530"/>
        </a:xfrm>
        <a:prstGeom prst="rect">
          <a:avLst/>
        </a:prstGeom>
      </xdr:spPr>
    </xdr:pic>
    <xdr:clientData/>
  </xdr:twoCellAnchor>
  <xdr:twoCellAnchor>
    <xdr:from>
      <xdr:col>13</xdr:col>
      <xdr:colOff>186690</xdr:colOff>
      <xdr:row>5</xdr:row>
      <xdr:rowOff>144780</xdr:rowOff>
    </xdr:from>
    <xdr:to>
      <xdr:col>20</xdr:col>
      <xdr:colOff>491490</xdr:colOff>
      <xdr:row>19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4BB3B40-4F2B-4C91-A9D4-5116F58DD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327660</xdr:colOff>
      <xdr:row>9</xdr:row>
      <xdr:rowOff>160020</xdr:rowOff>
    </xdr:from>
    <xdr:to>
      <xdr:col>10</xdr:col>
      <xdr:colOff>129540</xdr:colOff>
      <xdr:row>11</xdr:row>
      <xdr:rowOff>15240</xdr:rowOff>
    </xdr:to>
    <xdr:cxnSp macro="">
      <xdr:nvCxnSpPr>
        <xdr:cNvPr id="7" name="直線單箭頭接點 6">
          <a:extLst>
            <a:ext uri="{FF2B5EF4-FFF2-40B4-BE49-F238E27FC236}">
              <a16:creationId xmlns:a16="http://schemas.microsoft.com/office/drawing/2014/main" id="{9E8F998B-6BF3-4256-8862-7FAB54BE15C9}"/>
            </a:ext>
          </a:extLst>
        </xdr:cNvPr>
        <xdr:cNvCxnSpPr/>
      </xdr:nvCxnSpPr>
      <xdr:spPr>
        <a:xfrm>
          <a:off x="5943600" y="2011680"/>
          <a:ext cx="411480" cy="26670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99060</xdr:rowOff>
    </xdr:from>
    <xdr:to>
      <xdr:col>15</xdr:col>
      <xdr:colOff>134212</xdr:colOff>
      <xdr:row>6</xdr:row>
      <xdr:rowOff>15240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E85244A4-02D7-09D9-2F4B-22F81BDD1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480060"/>
          <a:ext cx="10329772" cy="678180"/>
        </a:xfrm>
        <a:prstGeom prst="rect">
          <a:avLst/>
        </a:prstGeom>
      </xdr:spPr>
    </xdr:pic>
    <xdr:clientData/>
  </xdr:twoCellAnchor>
  <xdr:twoCellAnchor>
    <xdr:from>
      <xdr:col>8</xdr:col>
      <xdr:colOff>678180</xdr:colOff>
      <xdr:row>2</xdr:row>
      <xdr:rowOff>129540</xdr:rowOff>
    </xdr:from>
    <xdr:to>
      <xdr:col>10</xdr:col>
      <xdr:colOff>266700</xdr:colOff>
      <xdr:row>4</xdr:row>
      <xdr:rowOff>38100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C2BE553-97C9-4B3E-B4FA-A959D61456C8}"/>
            </a:ext>
          </a:extLst>
        </xdr:cNvPr>
        <xdr:cNvSpPr/>
      </xdr:nvSpPr>
      <xdr:spPr>
        <a:xfrm>
          <a:off x="6530340" y="510540"/>
          <a:ext cx="1051560" cy="2895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312421</xdr:colOff>
      <xdr:row>1</xdr:row>
      <xdr:rowOff>145858</xdr:rowOff>
    </xdr:from>
    <xdr:to>
      <xdr:col>9</xdr:col>
      <xdr:colOff>106681</xdr:colOff>
      <xdr:row>18</xdr:row>
      <xdr:rowOff>132170</xdr:rowOff>
    </xdr:to>
    <xdr:pic>
      <xdr:nvPicPr>
        <xdr:cNvPr id="27" name="รูปภาพ 26">
          <a:extLst>
            <a:ext uri="{FF2B5EF4-FFF2-40B4-BE49-F238E27FC236}">
              <a16:creationId xmlns:a16="http://schemas.microsoft.com/office/drawing/2014/main" id="{E00BD1E1-3CFC-359B-54B4-13955F461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981" y="336358"/>
          <a:ext cx="4183380" cy="3224812"/>
        </a:xfrm>
        <a:prstGeom prst="rect">
          <a:avLst/>
        </a:prstGeom>
      </xdr:spPr>
    </xdr:pic>
    <xdr:clientData/>
  </xdr:twoCellAnchor>
  <xdr:twoCellAnchor>
    <xdr:from>
      <xdr:col>9</xdr:col>
      <xdr:colOff>598170</xdr:colOff>
      <xdr:row>3</xdr:row>
      <xdr:rowOff>175260</xdr:rowOff>
    </xdr:from>
    <xdr:to>
      <xdr:col>17</xdr:col>
      <xdr:colOff>293370</xdr:colOff>
      <xdr:row>17</xdr:row>
      <xdr:rowOff>53340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3FFF4C9-E784-4E7B-A69A-29FF01861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281940</xdr:colOff>
      <xdr:row>7</xdr:row>
      <xdr:rowOff>76200</xdr:rowOff>
    </xdr:from>
    <xdr:to>
      <xdr:col>6</xdr:col>
      <xdr:colOff>518160</xdr:colOff>
      <xdr:row>8</xdr:row>
      <xdr:rowOff>137160</xdr:rowOff>
    </xdr:to>
    <xdr:cxnSp macro="">
      <xdr:nvCxnSpPr>
        <xdr:cNvPr id="6" name="直線單箭頭接點 5">
          <a:extLst>
            <a:ext uri="{FF2B5EF4-FFF2-40B4-BE49-F238E27FC236}">
              <a16:creationId xmlns:a16="http://schemas.microsoft.com/office/drawing/2014/main" id="{C7562088-4E8F-473C-8ED8-EE83EE32A4A4}"/>
            </a:ext>
          </a:extLst>
        </xdr:cNvPr>
        <xdr:cNvCxnSpPr/>
      </xdr:nvCxnSpPr>
      <xdr:spPr>
        <a:xfrm flipH="1" flipV="1">
          <a:off x="4671060" y="1409700"/>
          <a:ext cx="236220" cy="2514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434341</xdr:colOff>
      <xdr:row>3</xdr:row>
      <xdr:rowOff>167576</xdr:rowOff>
    </xdr:from>
    <xdr:to>
      <xdr:col>8</xdr:col>
      <xdr:colOff>404959</xdr:colOff>
      <xdr:row>22</xdr:row>
      <xdr:rowOff>45719</xdr:rowOff>
    </xdr:to>
    <xdr:pic>
      <xdr:nvPicPr>
        <xdr:cNvPr id="28" name="รูปภาพ 27">
          <a:extLst>
            <a:ext uri="{FF2B5EF4-FFF2-40B4-BE49-F238E27FC236}">
              <a16:creationId xmlns:a16="http://schemas.microsoft.com/office/drawing/2014/main" id="{D517F0AE-425E-149B-4857-C404B08AA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7381" y="746696"/>
          <a:ext cx="4359738" cy="3497643"/>
        </a:xfrm>
        <a:prstGeom prst="rect">
          <a:avLst/>
        </a:prstGeom>
      </xdr:spPr>
    </xdr:pic>
    <xdr:clientData/>
  </xdr:twoCellAnchor>
  <xdr:twoCellAnchor>
    <xdr:from>
      <xdr:col>4</xdr:col>
      <xdr:colOff>716280</xdr:colOff>
      <xdr:row>4</xdr:row>
      <xdr:rowOff>83820</xdr:rowOff>
    </xdr:from>
    <xdr:to>
      <xdr:col>5</xdr:col>
      <xdr:colOff>106680</xdr:colOff>
      <xdr:row>6</xdr:row>
      <xdr:rowOff>30480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ABA9F15B-F7C8-4405-AF07-1DF48E6C76C3}"/>
            </a:ext>
          </a:extLst>
        </xdr:cNvPr>
        <xdr:cNvCxnSpPr/>
      </xdr:nvCxnSpPr>
      <xdr:spPr>
        <a:xfrm>
          <a:off x="3642360" y="853440"/>
          <a:ext cx="121920" cy="3276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323850</xdr:colOff>
      <xdr:row>5</xdr:row>
      <xdr:rowOff>144780</xdr:rowOff>
    </xdr:from>
    <xdr:to>
      <xdr:col>16</xdr:col>
      <xdr:colOff>628650</xdr:colOff>
      <xdr:row>19</xdr:row>
      <xdr:rowOff>22860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D1C44DB-ACC1-46AC-BA09-081F04406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3</xdr:row>
      <xdr:rowOff>30480</xdr:rowOff>
    </xdr:from>
    <xdr:to>
      <xdr:col>9</xdr:col>
      <xdr:colOff>427818</xdr:colOff>
      <xdr:row>21</xdr:row>
      <xdr:rowOff>99123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CECDA7E4-1F77-405A-AF9B-FBF7B9379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" y="609600"/>
          <a:ext cx="4359738" cy="3497643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167640</xdr:rowOff>
    </xdr:from>
    <xdr:to>
      <xdr:col>6</xdr:col>
      <xdr:colOff>274320</xdr:colOff>
      <xdr:row>9</xdr:row>
      <xdr:rowOff>175260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D100F2B3-5C06-48F4-806E-0DA64DDF49D0}"/>
            </a:ext>
          </a:extLst>
        </xdr:cNvPr>
        <xdr:cNvCxnSpPr/>
      </xdr:nvCxnSpPr>
      <xdr:spPr>
        <a:xfrm>
          <a:off x="4389120" y="1508760"/>
          <a:ext cx="274320" cy="3886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316230</xdr:colOff>
      <xdr:row>5</xdr:row>
      <xdr:rowOff>15240</xdr:rowOff>
    </xdr:from>
    <xdr:to>
      <xdr:col>19</xdr:col>
      <xdr:colOff>11430</xdr:colOff>
      <xdr:row>18</xdr:row>
      <xdr:rowOff>83820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A1D31B7-9548-4AD3-A056-EF8356666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472440</xdr:colOff>
      <xdr:row>3</xdr:row>
      <xdr:rowOff>91440</xdr:rowOff>
    </xdr:from>
    <xdr:to>
      <xdr:col>9</xdr:col>
      <xdr:colOff>443058</xdr:colOff>
      <xdr:row>21</xdr:row>
      <xdr:rowOff>160083</xdr:rowOff>
    </xdr:to>
    <xdr:pic>
      <xdr:nvPicPr>
        <xdr:cNvPr id="24" name="รูปภาพ 23">
          <a:extLst>
            <a:ext uri="{FF2B5EF4-FFF2-40B4-BE49-F238E27FC236}">
              <a16:creationId xmlns:a16="http://schemas.microsoft.com/office/drawing/2014/main" id="{4560EE88-AB43-4E1D-93AD-AD3A90325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670560"/>
          <a:ext cx="4359738" cy="3497643"/>
        </a:xfrm>
        <a:prstGeom prst="rect">
          <a:avLst/>
        </a:prstGeom>
      </xdr:spPr>
    </xdr:pic>
    <xdr:clientData/>
  </xdr:twoCellAnchor>
  <xdr:twoCellAnchor>
    <xdr:from>
      <xdr:col>6</xdr:col>
      <xdr:colOff>259080</xdr:colOff>
      <xdr:row>12</xdr:row>
      <xdr:rowOff>68580</xdr:rowOff>
    </xdr:from>
    <xdr:to>
      <xdr:col>6</xdr:col>
      <xdr:colOff>434340</xdr:colOff>
      <xdr:row>14</xdr:row>
      <xdr:rowOff>83820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874C23D4-E7AF-4090-94C4-90C2A41892C7}"/>
            </a:ext>
          </a:extLst>
        </xdr:cNvPr>
        <xdr:cNvCxnSpPr/>
      </xdr:nvCxnSpPr>
      <xdr:spPr>
        <a:xfrm>
          <a:off x="4648200" y="2362200"/>
          <a:ext cx="175260" cy="39624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575310</xdr:colOff>
      <xdr:row>4</xdr:row>
      <xdr:rowOff>60960</xdr:rowOff>
    </xdr:from>
    <xdr:to>
      <xdr:col>18</xdr:col>
      <xdr:colOff>270510</xdr:colOff>
      <xdr:row>17</xdr:row>
      <xdr:rowOff>129540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49AC935-3878-49AA-9E63-E90493EC9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8E3A-DEF0-4C97-A1E0-FD7371547529}">
  <dimension ref="A1:H2"/>
  <sheetViews>
    <sheetView workbookViewId="0">
      <selection activeCell="F11" sqref="F11"/>
    </sheetView>
  </sheetViews>
  <sheetFormatPr defaultRowHeight="15.6"/>
  <sheetData>
    <row r="1" spans="1:8">
      <c r="A1" s="2" t="s">
        <v>0</v>
      </c>
      <c r="B1" s="2" t="s">
        <v>1</v>
      </c>
      <c r="C1" s="3" t="s">
        <v>2</v>
      </c>
      <c r="D1" s="1"/>
      <c r="E1" s="1"/>
      <c r="G1" s="1"/>
      <c r="H1" s="1"/>
    </row>
    <row r="2" spans="1:8">
      <c r="A2" s="3" t="s">
        <v>21</v>
      </c>
      <c r="B2" s="3" t="s">
        <v>22</v>
      </c>
      <c r="C2" s="3" t="s">
        <v>23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A5CC-F4D5-4DCA-B965-6A6E07AA85B7}">
  <dimension ref="A1:E11"/>
  <sheetViews>
    <sheetView tabSelected="1" workbookViewId="0">
      <selection activeCell="O26" sqref="O26"/>
    </sheetView>
  </sheetViews>
  <sheetFormatPr defaultRowHeight="15.6"/>
  <sheetData>
    <row r="1" spans="1:5">
      <c r="A1" s="3" t="s">
        <v>3</v>
      </c>
      <c r="B1" s="3"/>
      <c r="C1" s="3"/>
    </row>
    <row r="2" spans="1:5">
      <c r="A2" s="3" t="s">
        <v>26</v>
      </c>
      <c r="B2" s="3"/>
      <c r="C2" s="3"/>
    </row>
    <row r="3" spans="1:5">
      <c r="A3" s="3"/>
      <c r="B3" s="3"/>
      <c r="C3" s="3"/>
    </row>
    <row r="4" spans="1:5">
      <c r="A4" s="3"/>
      <c r="B4" s="3"/>
      <c r="C4" s="3"/>
    </row>
    <row r="5" spans="1:5">
      <c r="A5" s="3"/>
      <c r="B5" s="3"/>
      <c r="C5" s="3"/>
    </row>
    <row r="6" spans="1:5">
      <c r="A6" s="3"/>
      <c r="B6" s="3"/>
      <c r="C6" s="3"/>
    </row>
    <row r="11" spans="1:5">
      <c r="E11">
        <f>0.50999421/10.316436</f>
        <v>4.94351159644668E-2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29A6-B6D1-4621-85A4-6F464AD37E92}">
  <dimension ref="C1:E31"/>
  <sheetViews>
    <sheetView topLeftCell="B1" zoomScaleNormal="100" workbookViewId="0">
      <selection activeCell="G27" sqref="G27"/>
    </sheetView>
  </sheetViews>
  <sheetFormatPr defaultRowHeight="15.6"/>
  <sheetData>
    <row r="1" spans="3:5">
      <c r="C1" s="3" t="s">
        <v>4</v>
      </c>
      <c r="D1" s="3" t="s">
        <v>5</v>
      </c>
      <c r="E1" s="3" t="s">
        <v>6</v>
      </c>
    </row>
    <row r="2" spans="3:5">
      <c r="C2" s="9">
        <v>0</v>
      </c>
      <c r="D2" s="9">
        <v>0</v>
      </c>
      <c r="E2" s="3" t="s">
        <v>19</v>
      </c>
    </row>
    <row r="3" spans="3:5">
      <c r="C3" s="9">
        <v>0.14983004031021799</v>
      </c>
      <c r="D3" s="9">
        <v>3.85133911585396</v>
      </c>
      <c r="E3" s="3" t="s">
        <v>19</v>
      </c>
    </row>
    <row r="4" spans="3:5">
      <c r="C4" s="9">
        <v>0.31328023760063201</v>
      </c>
      <c r="D4" s="9">
        <v>8.5135076292417295</v>
      </c>
      <c r="E4" s="3" t="s">
        <v>19</v>
      </c>
    </row>
    <row r="5" spans="3:5">
      <c r="C5" s="9">
        <v>0.51759350380915403</v>
      </c>
      <c r="D5" s="9">
        <v>13.581075376406901</v>
      </c>
      <c r="E5" s="3" t="s">
        <v>19</v>
      </c>
    </row>
    <row r="6" spans="3:5">
      <c r="C6" s="9">
        <v>0.73552796618887994</v>
      </c>
      <c r="D6" s="9">
        <v>19.459457056116399</v>
      </c>
      <c r="E6" s="3" t="s">
        <v>19</v>
      </c>
    </row>
    <row r="7" spans="3:5">
      <c r="C7" s="9">
        <v>0.99432445829570504</v>
      </c>
      <c r="D7" s="9">
        <v>25.3378310033312</v>
      </c>
      <c r="E7" s="3" t="s">
        <v>19</v>
      </c>
    </row>
    <row r="8" spans="3:5">
      <c r="C8" s="9">
        <v>1.1577751751816201</v>
      </c>
      <c r="D8" s="9">
        <v>29.391885201063399</v>
      </c>
      <c r="E8" s="3" t="s">
        <v>19</v>
      </c>
    </row>
    <row r="9" spans="3:5">
      <c r="C9" s="9">
        <v>1.3757091179658401</v>
      </c>
      <c r="D9" s="9">
        <v>34.864859914500798</v>
      </c>
      <c r="E9" s="3" t="s">
        <v>19</v>
      </c>
    </row>
    <row r="10" spans="3:5">
      <c r="C10" s="9">
        <v>1.5936440999410699</v>
      </c>
      <c r="D10" s="9">
        <v>39.527020695393801</v>
      </c>
      <c r="E10" s="3" t="s">
        <v>19</v>
      </c>
    </row>
    <row r="11" spans="3:5">
      <c r="C11" s="9">
        <v>1.8115780427252901</v>
      </c>
      <c r="D11" s="9">
        <v>44.797295791942503</v>
      </c>
      <c r="E11" s="3" t="s">
        <v>19</v>
      </c>
    </row>
    <row r="12" spans="3:5">
      <c r="C12" s="9">
        <v>2.07037505442762</v>
      </c>
      <c r="D12" s="9">
        <v>50.472970122268599</v>
      </c>
      <c r="E12" s="3" t="s">
        <v>19</v>
      </c>
    </row>
    <row r="13" spans="3:5">
      <c r="C13" s="9">
        <v>2.3291710269389401</v>
      </c>
      <c r="D13" s="9">
        <v>56.148644452594603</v>
      </c>
      <c r="E13" s="3" t="s">
        <v>19</v>
      </c>
    </row>
    <row r="14" spans="3:5">
      <c r="C14" s="9">
        <v>2.6015887152169701</v>
      </c>
      <c r="D14" s="9">
        <v>61.621619166031998</v>
      </c>
      <c r="E14" s="3" t="s">
        <v>19</v>
      </c>
    </row>
    <row r="15" spans="3:5">
      <c r="C15" s="9">
        <v>2.8603857269192998</v>
      </c>
      <c r="D15" s="9">
        <v>66.891886530085998</v>
      </c>
      <c r="E15" s="3" t="s">
        <v>19</v>
      </c>
    </row>
    <row r="16" spans="3:5">
      <c r="C16" s="9">
        <v>3.11918273862163</v>
      </c>
      <c r="D16" s="9">
        <v>71.959454277251197</v>
      </c>
      <c r="E16" s="3" t="s">
        <v>19</v>
      </c>
    </row>
    <row r="17" spans="3:5">
      <c r="C17" s="9">
        <v>3.4460841723934701</v>
      </c>
      <c r="D17" s="9">
        <v>77.635132473824598</v>
      </c>
      <c r="E17" s="3" t="s">
        <v>19</v>
      </c>
    </row>
    <row r="18" spans="3:5">
      <c r="C18" s="9">
        <v>3.7048811840957998</v>
      </c>
      <c r="D18" s="9">
        <v>82.702700220989797</v>
      </c>
      <c r="E18" s="3" t="s">
        <v>19</v>
      </c>
    </row>
    <row r="19" spans="3:5">
      <c r="C19" s="9">
        <v>4.00454022552523</v>
      </c>
      <c r="D19" s="9">
        <v>88.378378417563297</v>
      </c>
      <c r="E19" s="3" t="s">
        <v>19</v>
      </c>
    </row>
    <row r="20" spans="3:5">
      <c r="C20" s="9">
        <v>4.3178209827213703</v>
      </c>
      <c r="D20" s="9">
        <v>93.445946164728497</v>
      </c>
      <c r="E20" s="3" t="s">
        <v>19</v>
      </c>
    </row>
    <row r="21" spans="3:5">
      <c r="C21" s="9">
        <v>4.64472137730219</v>
      </c>
      <c r="D21" s="9">
        <v>98.513513911893696</v>
      </c>
      <c r="E21" s="3" t="s">
        <v>19</v>
      </c>
    </row>
    <row r="22" spans="3:5">
      <c r="C22" s="9">
        <v>4.98524348764973</v>
      </c>
      <c r="D22" s="9">
        <v>103.37837817592199</v>
      </c>
      <c r="E22" s="3" t="s">
        <v>19</v>
      </c>
    </row>
    <row r="23" spans="3:5">
      <c r="C23" s="9">
        <v>5.32576559799727</v>
      </c>
      <c r="D23" s="9">
        <v>108.85135288936</v>
      </c>
      <c r="E23" s="3" t="s">
        <v>19</v>
      </c>
    </row>
    <row r="24" spans="3:5">
      <c r="C24" s="9">
        <v>5.7343921304143102</v>
      </c>
      <c r="D24" s="9">
        <v>114.527027219686</v>
      </c>
      <c r="E24" s="3" t="s">
        <v>19</v>
      </c>
    </row>
    <row r="25" spans="3:5">
      <c r="C25" s="9">
        <v>6.1293979862556602</v>
      </c>
      <c r="D25" s="9">
        <v>119.59459496685101</v>
      </c>
      <c r="E25" s="3" t="s">
        <v>19</v>
      </c>
    </row>
    <row r="26" spans="3:5">
      <c r="C26" s="7"/>
      <c r="D26" s="7"/>
      <c r="E26" s="3"/>
    </row>
    <row r="27" spans="3:5">
      <c r="C27" s="7"/>
      <c r="D27" s="7"/>
      <c r="E27" s="3"/>
    </row>
    <row r="28" spans="3:5">
      <c r="C28" s="7"/>
      <c r="D28" s="7"/>
      <c r="E28" s="3"/>
    </row>
    <row r="29" spans="3:5">
      <c r="C29" s="7"/>
      <c r="D29" s="7"/>
      <c r="E29" s="3"/>
    </row>
    <row r="30" spans="3:5">
      <c r="C30" s="7"/>
      <c r="D30" s="7"/>
      <c r="E30" s="3"/>
    </row>
    <row r="31" spans="3:5">
      <c r="C31" s="7"/>
      <c r="D31" s="7"/>
      <c r="E31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53A8-4287-421F-B1D0-FD11C5C67EE6}">
  <dimension ref="A1:K13"/>
  <sheetViews>
    <sheetView zoomScale="115" zoomScaleNormal="115" workbookViewId="0">
      <selection activeCell="D12" sqref="D12"/>
    </sheetView>
  </sheetViews>
  <sheetFormatPr defaultRowHeight="15.6"/>
  <sheetData>
    <row r="1" spans="1:11">
      <c r="A1" s="3" t="s">
        <v>7</v>
      </c>
      <c r="B1" s="3"/>
    </row>
    <row r="2" spans="1:11">
      <c r="A2" s="8">
        <v>2.2000000000000002</v>
      </c>
      <c r="B2" s="3"/>
    </row>
    <row r="3" spans="1:11">
      <c r="A3" s="3"/>
      <c r="B3" s="3"/>
    </row>
    <row r="4" spans="1:11">
      <c r="A4" s="3"/>
      <c r="B4" s="3"/>
    </row>
    <row r="5" spans="1:11">
      <c r="A5" s="3"/>
      <c r="B5" s="3"/>
    </row>
    <row r="13" spans="1:11">
      <c r="K13" s="6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4521-2324-454D-B6F2-618BE3299634}">
  <dimension ref="C1:E28"/>
  <sheetViews>
    <sheetView topLeftCell="B1" workbookViewId="0">
      <selection activeCell="S23" sqref="S23"/>
    </sheetView>
  </sheetViews>
  <sheetFormatPr defaultRowHeight="15.6"/>
  <cols>
    <col min="4" max="4" width="10.796875" bestFit="1" customWidth="1"/>
  </cols>
  <sheetData>
    <row r="1" spans="3:5">
      <c r="C1" s="2" t="s">
        <v>8</v>
      </c>
      <c r="D1" s="2" t="s">
        <v>5</v>
      </c>
      <c r="E1" s="3" t="s">
        <v>9</v>
      </c>
    </row>
    <row r="2" spans="3:5">
      <c r="C2" s="9">
        <v>0</v>
      </c>
      <c r="D2" s="9">
        <v>0</v>
      </c>
      <c r="E2" s="3">
        <v>20</v>
      </c>
    </row>
    <row r="3" spans="3:5">
      <c r="C3" s="9">
        <v>3.5903341806438598</v>
      </c>
      <c r="D3" s="10">
        <v>1.0000000000000001E-9</v>
      </c>
      <c r="E3" s="3">
        <v>20</v>
      </c>
    </row>
    <row r="4" spans="3:5">
      <c r="C4" s="9">
        <v>4.1081707653371202</v>
      </c>
      <c r="D4" s="9">
        <v>0.55076612795009605</v>
      </c>
      <c r="E4" s="3">
        <v>20</v>
      </c>
    </row>
    <row r="5" spans="3:5">
      <c r="C5" s="9">
        <v>4.4706561112370897</v>
      </c>
      <c r="D5" s="9">
        <v>1.3769363302562601</v>
      </c>
      <c r="E5" s="3">
        <v>20</v>
      </c>
    </row>
    <row r="6" spans="3:5">
      <c r="C6" s="9">
        <v>5.0057536520348203</v>
      </c>
      <c r="D6" s="9">
        <v>3.02925572448759</v>
      </c>
      <c r="E6" s="3">
        <v>20</v>
      </c>
    </row>
    <row r="7" spans="3:5">
      <c r="C7" s="9">
        <v>5.4200231831747301</v>
      </c>
      <c r="D7" s="9">
        <v>5.2323622570500401</v>
      </c>
      <c r="E7" s="3">
        <v>20</v>
      </c>
    </row>
    <row r="8" spans="3:5">
      <c r="C8" s="9">
        <v>5.8688146265235801</v>
      </c>
      <c r="D8" s="9">
        <v>8.8123841094877395</v>
      </c>
      <c r="E8" s="3">
        <v>20</v>
      </c>
    </row>
    <row r="9" spans="3:5">
      <c r="C9" s="9">
        <v>6.2485609285280201</v>
      </c>
      <c r="D9" s="9">
        <v>12.117043908331301</v>
      </c>
      <c r="E9" s="3">
        <v>20</v>
      </c>
    </row>
    <row r="10" spans="3:5">
      <c r="C10" s="9">
        <v>6.6283085474589996</v>
      </c>
      <c r="D10" s="9">
        <v>17.073991585834801</v>
      </c>
      <c r="E10" s="3">
        <v>20</v>
      </c>
    </row>
    <row r="11" spans="3:5">
      <c r="C11" s="9">
        <v>7.0080548494634396</v>
      </c>
      <c r="D11" s="9">
        <v>22.306374853265801</v>
      </c>
      <c r="E11" s="3">
        <v>20</v>
      </c>
    </row>
    <row r="12" spans="3:5">
      <c r="C12" s="9">
        <v>7.3360182831544796</v>
      </c>
      <c r="D12" s="9">
        <v>27.814120174290899</v>
      </c>
      <c r="E12" s="3">
        <v>20</v>
      </c>
    </row>
    <row r="13" spans="3:5">
      <c r="C13" s="9">
        <v>7.6467207607410499</v>
      </c>
      <c r="D13" s="9">
        <v>34.974163879166298</v>
      </c>
      <c r="E13" s="3">
        <v>20</v>
      </c>
    </row>
    <row r="14" spans="3:5">
      <c r="C14" s="9">
        <v>7.95742192140108</v>
      </c>
      <c r="D14" s="9">
        <v>42.4096431739693</v>
      </c>
      <c r="E14" s="3">
        <v>20</v>
      </c>
    </row>
    <row r="15" spans="3:5">
      <c r="C15" s="9">
        <v>8.2681243989876503</v>
      </c>
      <c r="D15" s="9">
        <v>50.395867586341303</v>
      </c>
      <c r="E15" s="3">
        <v>20</v>
      </c>
    </row>
    <row r="16" spans="3:5">
      <c r="C16" s="9">
        <v>8.6133487887831492</v>
      </c>
      <c r="D16" s="9">
        <v>60.309815467300801</v>
      </c>
      <c r="E16" s="3">
        <v>20</v>
      </c>
    </row>
    <row r="17" spans="3:5">
      <c r="C17" s="9">
        <v>8.9585731785786606</v>
      </c>
      <c r="D17" s="9">
        <v>71.049912540185403</v>
      </c>
      <c r="E17" s="3">
        <v>20</v>
      </c>
    </row>
    <row r="18" spans="3:5">
      <c r="C18" s="9">
        <v>9.2174914709252906</v>
      </c>
      <c r="D18" s="9">
        <v>80.137700724029202</v>
      </c>
      <c r="E18" s="3">
        <v>20</v>
      </c>
    </row>
    <row r="19" spans="3:5">
      <c r="C19" s="9">
        <v>9.4936707193763894</v>
      </c>
      <c r="D19" s="9">
        <v>89.776255035823098</v>
      </c>
      <c r="E19" s="3">
        <v>20</v>
      </c>
    </row>
    <row r="20" spans="3:5">
      <c r="C20" s="9">
        <v>9.73532805561854</v>
      </c>
      <c r="D20" s="9">
        <v>98.588639145310793</v>
      </c>
      <c r="E20" s="3">
        <v>20</v>
      </c>
    </row>
    <row r="21" spans="3:5">
      <c r="C21" s="9">
        <v>9.9769853918606994</v>
      </c>
      <c r="D21" s="9">
        <v>107.12565069601401</v>
      </c>
      <c r="E21" s="3">
        <v>20</v>
      </c>
    </row>
    <row r="22" spans="3:5">
      <c r="C22" s="9">
        <v>10.2531646403118</v>
      </c>
      <c r="D22" s="9">
        <v>117.314976388353</v>
      </c>
      <c r="E22" s="3">
        <v>20</v>
      </c>
    </row>
    <row r="23" spans="3:5">
      <c r="C23" s="9">
        <v>10.563865800971801</v>
      </c>
      <c r="D23" s="9">
        <v>127.504296828097</v>
      </c>
      <c r="E23" s="3">
        <v>20</v>
      </c>
    </row>
    <row r="24" spans="3:5">
      <c r="C24" s="9">
        <v>10.822784093318401</v>
      </c>
      <c r="D24" s="9">
        <v>136.31670194796499</v>
      </c>
      <c r="E24" s="3">
        <v>20</v>
      </c>
    </row>
    <row r="25" spans="3:5">
      <c r="C25" s="9">
        <v>11.098964658696</v>
      </c>
      <c r="D25" s="9">
        <v>144.85370036718101</v>
      </c>
      <c r="E25" s="3">
        <v>20</v>
      </c>
    </row>
    <row r="26" spans="3:5">
      <c r="C26" s="9">
        <v>11.392404863251601</v>
      </c>
      <c r="D26" s="9">
        <v>153.66609760815601</v>
      </c>
      <c r="E26" s="3">
        <v>20</v>
      </c>
    </row>
    <row r="27" spans="3:5">
      <c r="C27" s="9">
        <v>11.651323155598201</v>
      </c>
      <c r="D27" s="9">
        <v>159.449231245752</v>
      </c>
      <c r="E27" s="3">
        <v>20</v>
      </c>
    </row>
    <row r="28" spans="3:5">
      <c r="C28" s="7"/>
      <c r="D28" s="7"/>
      <c r="E28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8861-054E-4F2A-BB56-EFC5222BB14F}">
  <dimension ref="A1:B4"/>
  <sheetViews>
    <sheetView workbookViewId="0">
      <selection activeCell="A2" sqref="A2"/>
    </sheetView>
  </sheetViews>
  <sheetFormatPr defaultRowHeight="15.6"/>
  <sheetData>
    <row r="1" spans="1:2">
      <c r="A1" s="3" t="s">
        <v>10</v>
      </c>
      <c r="B1" s="3"/>
    </row>
    <row r="2" spans="1:2">
      <c r="A2" s="3">
        <v>3.8</v>
      </c>
      <c r="B2" s="3"/>
    </row>
    <row r="3" spans="1:2">
      <c r="A3" s="3"/>
      <c r="B3" s="3"/>
    </row>
    <row r="4" spans="1:2">
      <c r="A4" s="3"/>
      <c r="B4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B614-8864-4923-A89E-50D43D25E344}">
  <dimension ref="A1:C34"/>
  <sheetViews>
    <sheetView workbookViewId="0">
      <selection activeCell="Q4" sqref="Q4"/>
    </sheetView>
  </sheetViews>
  <sheetFormatPr defaultRowHeight="15.6"/>
  <sheetData>
    <row r="1" spans="1:3">
      <c r="A1" s="3" t="s">
        <v>11</v>
      </c>
      <c r="B1" s="3" t="s">
        <v>12</v>
      </c>
      <c r="C1" s="3" t="s">
        <v>13</v>
      </c>
    </row>
    <row r="2" spans="1:3">
      <c r="A2" s="9">
        <v>0</v>
      </c>
      <c r="B2" s="9">
        <v>0</v>
      </c>
      <c r="C2" s="3">
        <v>25</v>
      </c>
    </row>
    <row r="3" spans="1:3">
      <c r="A3" s="9">
        <v>1.7290753358991999</v>
      </c>
      <c r="B3" s="10">
        <v>1.0000000000000001E-9</v>
      </c>
      <c r="C3" s="3">
        <v>25</v>
      </c>
    </row>
    <row r="4" spans="1:3">
      <c r="A4" s="9">
        <v>1.98237878799845</v>
      </c>
      <c r="B4" s="9">
        <v>0.58823381832400701</v>
      </c>
      <c r="C4" s="3">
        <v>25</v>
      </c>
    </row>
    <row r="5" spans="1:3">
      <c r="A5" s="9">
        <v>2.16960395545442</v>
      </c>
      <c r="B5" s="9">
        <v>1.9607843809459</v>
      </c>
      <c r="C5" s="3">
        <v>25</v>
      </c>
    </row>
    <row r="6" spans="1:3">
      <c r="A6" s="9">
        <v>2.4229074075536698</v>
      </c>
      <c r="B6" s="9">
        <v>4.1176460780165698</v>
      </c>
      <c r="C6" s="3">
        <v>25</v>
      </c>
    </row>
    <row r="7" spans="1:3">
      <c r="A7" s="9">
        <v>2.63215866989073</v>
      </c>
      <c r="B7" s="9">
        <v>7.4509810215843704</v>
      </c>
      <c r="C7" s="3">
        <v>25</v>
      </c>
    </row>
    <row r="8" spans="1:3">
      <c r="A8" s="9">
        <v>2.8083699496644798</v>
      </c>
      <c r="B8" s="9">
        <v>9.9999992208542796</v>
      </c>
      <c r="C8" s="3">
        <v>25</v>
      </c>
    </row>
    <row r="9" spans="1:3">
      <c r="A9" s="9">
        <v>3.0286342594420899</v>
      </c>
      <c r="B9" s="9">
        <v>12.745096606198601</v>
      </c>
      <c r="C9" s="3">
        <v>25</v>
      </c>
    </row>
    <row r="10" spans="1:3">
      <c r="A10" s="9">
        <v>3.25991161666024</v>
      </c>
      <c r="B10" s="9">
        <v>15.686276917516899</v>
      </c>
      <c r="C10" s="3">
        <v>25</v>
      </c>
    </row>
    <row r="11" spans="1:3">
      <c r="A11" s="9">
        <v>3.4911898141200499</v>
      </c>
      <c r="B11" s="9">
        <v>18.823528935110801</v>
      </c>
      <c r="C11" s="3">
        <v>25</v>
      </c>
    </row>
    <row r="12" spans="1:3">
      <c r="A12" s="9">
        <v>3.7004402362154498</v>
      </c>
      <c r="B12" s="9">
        <v>21.960792172403</v>
      </c>
      <c r="C12" s="3">
        <v>25</v>
      </c>
    </row>
    <row r="13" spans="1:3">
      <c r="A13" s="9">
        <v>3.9427314811158198</v>
      </c>
      <c r="B13" s="9">
        <v>25.882360934294798</v>
      </c>
      <c r="C13" s="3">
        <v>25</v>
      </c>
    </row>
    <row r="14" spans="1:3">
      <c r="A14" s="9">
        <v>4.1850218857745203</v>
      </c>
      <c r="B14" s="9">
        <v>29.607843030313301</v>
      </c>
      <c r="C14" s="3">
        <v>25</v>
      </c>
    </row>
    <row r="15" spans="1:3">
      <c r="A15" s="9">
        <v>4.39427314811158</v>
      </c>
      <c r="B15" s="9">
        <v>33.529411792205103</v>
      </c>
      <c r="C15" s="3">
        <v>25</v>
      </c>
    </row>
    <row r="16" spans="1:3">
      <c r="A16" s="9">
        <v>4.5925113630080903</v>
      </c>
      <c r="B16" s="9">
        <v>37.450980554096901</v>
      </c>
      <c r="C16" s="3">
        <v>25</v>
      </c>
    </row>
    <row r="17" spans="1:3">
      <c r="A17" s="9">
        <v>4.8127756727856896</v>
      </c>
      <c r="B17" s="9">
        <v>41.764707688137598</v>
      </c>
      <c r="C17" s="3">
        <v>25</v>
      </c>
    </row>
    <row r="18" spans="1:3">
      <c r="A18" s="9">
        <v>5.0330399825632997</v>
      </c>
      <c r="B18" s="9">
        <v>46.4705931943273</v>
      </c>
      <c r="C18" s="3">
        <v>25</v>
      </c>
    </row>
    <row r="19" spans="1:3">
      <c r="A19" s="9">
        <v>5.2973564821031003</v>
      </c>
      <c r="B19" s="9">
        <v>52.156863411191203</v>
      </c>
      <c r="C19" s="3">
        <v>25</v>
      </c>
    </row>
    <row r="20" spans="1:3">
      <c r="A20" s="9">
        <v>5.50660774444016</v>
      </c>
      <c r="B20" s="9">
        <v>57.254907289529797</v>
      </c>
      <c r="C20" s="3">
        <v>25</v>
      </c>
    </row>
    <row r="21" spans="1:3">
      <c r="A21" s="9">
        <v>5.7378851016583097</v>
      </c>
      <c r="B21" s="9">
        <v>62.745102060218599</v>
      </c>
      <c r="C21" s="3">
        <v>25</v>
      </c>
    </row>
    <row r="22" spans="1:3">
      <c r="A22" s="9">
        <v>5.9471363639953703</v>
      </c>
      <c r="B22" s="9">
        <v>68.039221384732301</v>
      </c>
      <c r="C22" s="3">
        <v>25</v>
      </c>
    </row>
    <row r="23" spans="1:3">
      <c r="A23" s="9">
        <v>6.1894276088957296</v>
      </c>
      <c r="B23" s="9">
        <v>74.705883792069102</v>
      </c>
      <c r="C23" s="3">
        <v>25</v>
      </c>
    </row>
    <row r="24" spans="1:3">
      <c r="A24" s="9">
        <v>6.4096919186733397</v>
      </c>
      <c r="B24" s="9">
        <v>80.980410266653394</v>
      </c>
      <c r="C24" s="3">
        <v>25</v>
      </c>
    </row>
    <row r="25" spans="1:3">
      <c r="A25" s="9">
        <v>6.61894234076874</v>
      </c>
      <c r="B25" s="9">
        <v>87.058823896068503</v>
      </c>
      <c r="C25" s="3">
        <v>25</v>
      </c>
    </row>
    <row r="26" spans="1:3">
      <c r="A26" s="9">
        <v>6.8502205382285499</v>
      </c>
      <c r="B26" s="9">
        <v>93.333335411055202</v>
      </c>
      <c r="C26" s="3">
        <v>25</v>
      </c>
    </row>
    <row r="27" spans="1:3">
      <c r="A27" s="9">
        <v>7.07048484800616</v>
      </c>
      <c r="B27" s="9">
        <v>99.803929852015699</v>
      </c>
      <c r="C27" s="3">
        <v>25</v>
      </c>
    </row>
    <row r="28" spans="1:3">
      <c r="A28" s="9">
        <v>7.26872222266101</v>
      </c>
      <c r="B28" s="9">
        <v>105.882358441028</v>
      </c>
      <c r="C28" s="3">
        <v>25</v>
      </c>
    </row>
    <row r="29" spans="1:3">
      <c r="A29" s="9">
        <v>7.4559473901169699</v>
      </c>
      <c r="B29" s="9">
        <v>112.549028328164</v>
      </c>
      <c r="C29" s="3">
        <v>25</v>
      </c>
    </row>
    <row r="30" spans="1:3">
      <c r="A30" s="9">
        <v>7.67621169989458</v>
      </c>
      <c r="B30" s="9">
        <v>119.607849107649</v>
      </c>
      <c r="C30" s="3">
        <v>25</v>
      </c>
    </row>
    <row r="31" spans="1:3">
      <c r="A31" s="7"/>
      <c r="B31" s="7"/>
      <c r="C31" s="3"/>
    </row>
    <row r="32" spans="1:3">
      <c r="A32" s="7"/>
      <c r="B32" s="7"/>
      <c r="C32" s="3"/>
    </row>
    <row r="33" spans="1:3">
      <c r="A33" s="7"/>
      <c r="B33" s="7"/>
      <c r="C33" s="3"/>
    </row>
    <row r="34" spans="1:3">
      <c r="A34" s="7"/>
      <c r="B34" s="7"/>
      <c r="C34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4037-7AF4-4085-978E-00C1878B509E}">
  <dimension ref="A1:D34"/>
  <sheetViews>
    <sheetView zoomScaleNormal="100" workbookViewId="0">
      <selection activeCell="G3" sqref="G3"/>
    </sheetView>
  </sheetViews>
  <sheetFormatPr defaultRowHeight="15.6"/>
  <sheetData>
    <row r="1" spans="1:2" ht="15.9" thickBot="1">
      <c r="A1" s="4" t="s">
        <v>14</v>
      </c>
      <c r="B1" s="5" t="s">
        <v>15</v>
      </c>
    </row>
    <row r="2" spans="1:2">
      <c r="A2" s="9">
        <v>0</v>
      </c>
      <c r="B2" s="9">
        <v>4013.0842812466099</v>
      </c>
    </row>
    <row r="3" spans="1:2">
      <c r="A3" s="9">
        <v>4.4117531561942602</v>
      </c>
      <c r="B3" s="9">
        <v>3258.6937876726902</v>
      </c>
    </row>
    <row r="4" spans="1:2">
      <c r="A4" s="9">
        <v>11.7646937826797</v>
      </c>
      <c r="B4" s="9">
        <v>2776.3763509330902</v>
      </c>
    </row>
    <row r="5" spans="1:2">
      <c r="A5" s="9">
        <v>32.352949976232999</v>
      </c>
      <c r="B5" s="9">
        <v>2821.20569539095</v>
      </c>
    </row>
    <row r="6" spans="1:2">
      <c r="A6" s="9">
        <v>69.117709207145097</v>
      </c>
      <c r="B6" s="9">
        <v>2821.20569539095</v>
      </c>
    </row>
    <row r="7" spans="1:2">
      <c r="A7" s="9">
        <v>116.176484337863</v>
      </c>
      <c r="B7" s="9">
        <v>2821.20569539095</v>
      </c>
    </row>
    <row r="8" spans="1:2">
      <c r="A8" s="9">
        <v>163.235259468582</v>
      </c>
      <c r="B8" s="9">
        <v>2821.20569539095</v>
      </c>
    </row>
    <row r="9" spans="1:2">
      <c r="A9" s="9">
        <v>210.29414679627101</v>
      </c>
      <c r="B9" s="9">
        <v>2821.20569539095</v>
      </c>
    </row>
    <row r="10" spans="1:2">
      <c r="A10" s="9">
        <v>257.35292192699001</v>
      </c>
      <c r="B10" s="9">
        <v>2821.20569539095</v>
      </c>
    </row>
    <row r="11" spans="1:2">
      <c r="A11" s="9">
        <v>308.82350631238802</v>
      </c>
      <c r="B11" s="9">
        <v>2821.20569539095</v>
      </c>
    </row>
    <row r="12" spans="1:2">
      <c r="A12" s="9">
        <v>367.64703132427201</v>
      </c>
      <c r="B12" s="9">
        <v>2821.20569539095</v>
      </c>
    </row>
    <row r="13" spans="1:2">
      <c r="A13" s="9">
        <v>414.70591865196002</v>
      </c>
      <c r="B13" s="9">
        <v>2821.20569539095</v>
      </c>
    </row>
    <row r="14" spans="1:2">
      <c r="A14" s="9">
        <v>460.29412809677598</v>
      </c>
      <c r="B14" s="9">
        <v>2821.20569539095</v>
      </c>
    </row>
    <row r="15" spans="1:2">
      <c r="A15" s="9">
        <v>502.94120616978603</v>
      </c>
      <c r="B15" s="9">
        <v>2821.20569539095</v>
      </c>
    </row>
    <row r="16" spans="1:2">
      <c r="A16" s="9">
        <v>549.99998130050403</v>
      </c>
      <c r="B16" s="9">
        <v>2821.20569539095</v>
      </c>
    </row>
    <row r="17" spans="1:4">
      <c r="A17" s="9">
        <v>600</v>
      </c>
      <c r="B17" s="9">
        <v>2821.20569539095</v>
      </c>
    </row>
    <row r="18" spans="1:4">
      <c r="A18" s="9">
        <v>655.88228144310699</v>
      </c>
      <c r="B18" s="9">
        <v>2821.20569539095</v>
      </c>
    </row>
    <row r="19" spans="1:4">
      <c r="A19" s="9">
        <v>716.17648433786405</v>
      </c>
      <c r="B19" s="9">
        <v>2821.20569539095</v>
      </c>
    </row>
    <row r="20" spans="1:4">
      <c r="A20" s="9">
        <v>769.11763440916502</v>
      </c>
      <c r="B20" s="9">
        <v>2821.20569539095</v>
      </c>
    </row>
    <row r="21" spans="1:4">
      <c r="A21" s="9">
        <v>817.64697522578695</v>
      </c>
      <c r="B21" s="9">
        <v>2821.20569539095</v>
      </c>
    </row>
    <row r="22" spans="1:4">
      <c r="A22" s="9">
        <v>872.05880317996105</v>
      </c>
      <c r="B22" s="9">
        <v>2821.20569539095</v>
      </c>
    </row>
    <row r="23" spans="1:4">
      <c r="A23" s="9">
        <v>924.99995325126201</v>
      </c>
      <c r="B23" s="9">
        <v>2821.20569539095</v>
      </c>
    </row>
    <row r="24" spans="1:4">
      <c r="A24" s="9">
        <v>985.29404394904896</v>
      </c>
      <c r="B24" s="9">
        <v>2821.20569539095</v>
      </c>
      <c r="D24" s="3"/>
    </row>
    <row r="25" spans="1:4">
      <c r="A25" s="9">
        <v>1194.11751286244</v>
      </c>
      <c r="B25" s="9">
        <v>2821.20569539095</v>
      </c>
    </row>
    <row r="26" spans="1:4">
      <c r="A26" s="7"/>
      <c r="B26" s="7"/>
    </row>
    <row r="27" spans="1:4">
      <c r="A27" s="7"/>
      <c r="B27" s="7"/>
    </row>
    <row r="28" spans="1:4">
      <c r="A28" s="7"/>
      <c r="B28" s="7"/>
    </row>
    <row r="29" spans="1:4">
      <c r="A29" s="7"/>
      <c r="B29" s="7"/>
    </row>
    <row r="30" spans="1:4">
      <c r="A30" s="7"/>
      <c r="B30" s="7"/>
    </row>
    <row r="31" spans="1:4">
      <c r="A31" s="7"/>
      <c r="B31" s="7"/>
    </row>
    <row r="32" spans="1:4">
      <c r="A32" s="7"/>
      <c r="B32" s="7"/>
    </row>
    <row r="33" spans="1:2">
      <c r="A33" s="7"/>
      <c r="B33" s="7"/>
    </row>
    <row r="34" spans="1:2">
      <c r="A34" s="7"/>
      <c r="B34" s="7"/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9A34-A96F-47D2-9587-82DA3E239B23}">
  <dimension ref="A1:B32"/>
  <sheetViews>
    <sheetView workbookViewId="0">
      <selection activeCell="C9" sqref="C9"/>
    </sheetView>
  </sheetViews>
  <sheetFormatPr defaultRowHeight="15.6"/>
  <sheetData>
    <row r="1" spans="1:2" ht="15.9" thickBot="1">
      <c r="A1" s="4" t="s">
        <v>14</v>
      </c>
      <c r="B1" s="5" t="s">
        <v>20</v>
      </c>
    </row>
    <row r="2" spans="1:2">
      <c r="A2" s="9">
        <v>0</v>
      </c>
      <c r="B2" s="9">
        <v>2960.0864601338699</v>
      </c>
    </row>
    <row r="3" spans="1:2">
      <c r="A3" s="9">
        <v>2.94118747029118</v>
      </c>
      <c r="B3" s="9">
        <v>2080.9462734695298</v>
      </c>
    </row>
    <row r="4" spans="1:2">
      <c r="A4" s="9">
        <v>7.3529406264855002</v>
      </c>
      <c r="B4" s="9">
        <v>1372.1174225432501</v>
      </c>
    </row>
    <row r="5" spans="1:2">
      <c r="A5" s="9">
        <v>10.2941280967766</v>
      </c>
      <c r="B5" s="9">
        <v>964.60138850930196</v>
      </c>
    </row>
    <row r="6" spans="1:2">
      <c r="A6" s="9">
        <v>13.235315567067801</v>
      </c>
      <c r="B6" s="9">
        <v>722.98687608665102</v>
      </c>
    </row>
    <row r="7" spans="1:2">
      <c r="A7" s="9">
        <v>22.0588218794563</v>
      </c>
      <c r="B7" s="9">
        <v>568.56823087655005</v>
      </c>
    </row>
    <row r="8" spans="1:2">
      <c r="A8" s="9">
        <v>35.294137446524097</v>
      </c>
      <c r="B8" s="9">
        <v>426.15244845337998</v>
      </c>
    </row>
    <row r="9" spans="1:2">
      <c r="A9" s="9">
        <v>52.941150071301102</v>
      </c>
      <c r="B9" s="9">
        <v>329.80776834616597</v>
      </c>
    </row>
    <row r="10" spans="1:2">
      <c r="A10" s="9">
        <v>76.470649833630503</v>
      </c>
      <c r="B10" s="9">
        <v>272.13385153344097</v>
      </c>
    </row>
    <row r="11" spans="1:2">
      <c r="A11" s="9">
        <v>101.470603084893</v>
      </c>
      <c r="B11" s="9">
        <v>239.403474112754</v>
      </c>
    </row>
    <row r="12" spans="1:2">
      <c r="A12" s="9">
        <v>133.823496962641</v>
      </c>
      <c r="B12" s="9">
        <v>210.60968010520699</v>
      </c>
    </row>
    <row r="13" spans="1:2">
      <c r="A13" s="9">
        <v>166.176503037359</v>
      </c>
      <c r="B13" s="9">
        <v>185.279004485652</v>
      </c>
    </row>
    <row r="14" spans="1:2">
      <c r="A14" s="9">
        <v>204.41177185568901</v>
      </c>
      <c r="B14" s="9">
        <v>168.30108647842101</v>
      </c>
    </row>
    <row r="15" spans="1:2">
      <c r="A15" s="9">
        <v>248.52941561460099</v>
      </c>
      <c r="B15" s="9">
        <v>152.87902207943401</v>
      </c>
    </row>
    <row r="16" spans="1:2">
      <c r="A16" s="9">
        <v>289.705928001708</v>
      </c>
      <c r="B16" s="9">
        <v>143.39093722234901</v>
      </c>
    </row>
    <row r="17" spans="1:2">
      <c r="A17" s="9">
        <v>333.82357176062101</v>
      </c>
      <c r="B17" s="9">
        <v>134.49179070718901</v>
      </c>
    </row>
    <row r="18" spans="1:2">
      <c r="A18" s="9">
        <v>374.99997195075701</v>
      </c>
      <c r="B18" s="9">
        <v>126.1448670714</v>
      </c>
    </row>
    <row r="19" spans="1:2">
      <c r="A19" s="9">
        <v>419.11761570967002</v>
      </c>
      <c r="B19" s="9">
        <v>122.167725162843</v>
      </c>
    </row>
    <row r="20" spans="1:2">
      <c r="A20" s="9">
        <v>463.235259468582</v>
      </c>
      <c r="B20" s="9">
        <v>114.58573632374301</v>
      </c>
    </row>
    <row r="21" spans="1:2">
      <c r="A21" s="9">
        <v>507.35290322749501</v>
      </c>
      <c r="B21" s="9">
        <v>110.973034953991</v>
      </c>
    </row>
    <row r="22" spans="1:2">
      <c r="A22" s="9">
        <v>558.82348761289302</v>
      </c>
      <c r="B22" s="9">
        <v>107.47423616588399</v>
      </c>
    </row>
    <row r="23" spans="1:2">
      <c r="A23" s="9">
        <v>622.05882187945599</v>
      </c>
      <c r="B23" s="9">
        <v>100.804094907639</v>
      </c>
    </row>
    <row r="24" spans="1:2">
      <c r="A24" s="9">
        <v>679.411781205436</v>
      </c>
      <c r="B24" s="9">
        <v>99.202304048943702</v>
      </c>
    </row>
    <row r="25" spans="1:2">
      <c r="A25" s="9">
        <v>738.23530621732004</v>
      </c>
      <c r="B25" s="9">
        <v>99.202304048943702</v>
      </c>
    </row>
    <row r="26" spans="1:2">
      <c r="A26" s="9">
        <v>802.94109397281602</v>
      </c>
      <c r="B26" s="9">
        <v>99.202304048943702</v>
      </c>
    </row>
    <row r="27" spans="1:2">
      <c r="A27" s="9">
        <v>876.47050023766997</v>
      </c>
      <c r="B27" s="9">
        <v>100.804094907639</v>
      </c>
    </row>
    <row r="28" spans="1:2">
      <c r="A28" s="9">
        <v>945.58820944481499</v>
      </c>
      <c r="B28" s="9">
        <v>99.202304048943702</v>
      </c>
    </row>
    <row r="29" spans="1:2">
      <c r="A29" s="9">
        <v>1019.11761570967</v>
      </c>
      <c r="B29" s="9">
        <v>100.804094907639</v>
      </c>
    </row>
    <row r="30" spans="1:2">
      <c r="A30" s="9">
        <v>1094.1176998573901</v>
      </c>
      <c r="B30" s="9">
        <v>99.202304048943702</v>
      </c>
    </row>
    <row r="31" spans="1:2">
      <c r="A31" s="9">
        <v>1154.4116783582101</v>
      </c>
      <c r="B31" s="9">
        <v>100.804094907639</v>
      </c>
    </row>
    <row r="32" spans="1:2">
      <c r="A32" s="9">
        <v>1201.4704534889299</v>
      </c>
      <c r="B32" s="9">
        <v>100.804094907639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566E-02DD-45C1-96A6-F683051AA92D}">
  <dimension ref="A1:B38"/>
  <sheetViews>
    <sheetView workbookViewId="0">
      <selection activeCell="E1" sqref="E1"/>
    </sheetView>
  </sheetViews>
  <sheetFormatPr defaultRowHeight="15.6"/>
  <sheetData>
    <row r="1" spans="1:2" ht="15.9" thickBot="1">
      <c r="A1" s="4" t="s">
        <v>14</v>
      </c>
      <c r="B1" s="5" t="s">
        <v>16</v>
      </c>
    </row>
    <row r="2" spans="1:2">
      <c r="A2" s="3" t="s">
        <v>17</v>
      </c>
      <c r="B2" s="3" t="s">
        <v>18</v>
      </c>
    </row>
    <row r="3" spans="1:2">
      <c r="A3" s="9">
        <v>0</v>
      </c>
      <c r="B3" s="9">
        <v>980.17652762740897</v>
      </c>
    </row>
    <row r="4" spans="1:2">
      <c r="A4" s="9">
        <v>1.4706217843881</v>
      </c>
      <c r="B4" s="9">
        <v>656.73685717152705</v>
      </c>
    </row>
    <row r="5" spans="1:2">
      <c r="A5" s="9">
        <v>2.94118747029118</v>
      </c>
      <c r="B5" s="9">
        <v>433.03380545665101</v>
      </c>
    </row>
    <row r="6" spans="1:2">
      <c r="A6" s="9">
        <v>5.8823749405823698</v>
      </c>
      <c r="B6" s="9">
        <v>224.54544816147299</v>
      </c>
    </row>
    <row r="7" spans="1:2">
      <c r="A7" s="9">
        <v>5.8823749405823698</v>
      </c>
      <c r="B7" s="9">
        <v>136.663390681501</v>
      </c>
    </row>
    <row r="8" spans="1:2">
      <c r="A8" s="9">
        <v>10.2941280967766</v>
      </c>
      <c r="B8" s="9">
        <v>80.553985232199096</v>
      </c>
    </row>
    <row r="9" spans="1:2">
      <c r="A9" s="9">
        <v>10.2941280967766</v>
      </c>
      <c r="B9" s="9">
        <v>56.629601074045503</v>
      </c>
    </row>
    <row r="10" spans="1:2">
      <c r="A10" s="9">
        <v>11.7646937826797</v>
      </c>
      <c r="B10" s="9">
        <v>33.379385846318499</v>
      </c>
    </row>
    <row r="11" spans="1:2">
      <c r="A11" s="9">
        <v>22.0588218794563</v>
      </c>
      <c r="B11" s="9">
        <v>24.229692876643298</v>
      </c>
    </row>
    <row r="12" spans="1:2">
      <c r="A12" s="9">
        <v>33.823515662136003</v>
      </c>
      <c r="B12" s="9">
        <v>17.033519046832801</v>
      </c>
    </row>
    <row r="13" spans="1:2">
      <c r="A13" s="9">
        <v>55.882393640077296</v>
      </c>
      <c r="B13" s="9">
        <v>13.6117188948808</v>
      </c>
    </row>
    <row r="14" spans="1:2">
      <c r="A14" s="9">
        <v>83.823590460115994</v>
      </c>
      <c r="B14" s="9">
        <v>11.2314266302494</v>
      </c>
    </row>
    <row r="15" spans="1:2">
      <c r="A15" s="9">
        <v>130.88236559083401</v>
      </c>
      <c r="B15" s="9">
        <v>9.5690694846583995</v>
      </c>
    </row>
    <row r="16" spans="1:2">
      <c r="A16" s="9">
        <v>189.705890602718</v>
      </c>
      <c r="B16" s="9">
        <v>8.2843869652102899</v>
      </c>
    </row>
    <row r="17" spans="1:2">
      <c r="A17" s="9">
        <v>236.764665733437</v>
      </c>
      <c r="B17" s="9">
        <v>7.77024503955922</v>
      </c>
    </row>
    <row r="18" spans="1:2">
      <c r="A18" s="9">
        <v>286.76468443293197</v>
      </c>
      <c r="B18" s="9">
        <v>7.2880071073354404</v>
      </c>
    </row>
    <row r="19" spans="1:2">
      <c r="A19" s="9">
        <v>348.52945301359102</v>
      </c>
      <c r="B19" s="9">
        <v>6.7270736016847197</v>
      </c>
    </row>
    <row r="20" spans="1:2">
      <c r="A20" s="9">
        <v>397.05879383021301</v>
      </c>
      <c r="B20" s="9">
        <v>6.5149719815133098</v>
      </c>
    </row>
    <row r="21" spans="1:2">
      <c r="A21" s="9">
        <v>449.999943901515</v>
      </c>
      <c r="B21" s="9">
        <v>6.3095732520326102</v>
      </c>
    </row>
    <row r="22" spans="1:2">
      <c r="A22" s="9">
        <v>501.47052828691301</v>
      </c>
      <c r="B22" s="9">
        <v>5.9179877173700799</v>
      </c>
    </row>
    <row r="23" spans="1:2">
      <c r="A23" s="9">
        <v>563.23529686757195</v>
      </c>
      <c r="B23" s="9">
        <v>5.7314032172512102</v>
      </c>
    </row>
    <row r="24" spans="1:2">
      <c r="A24" s="9">
        <v>622.05882187945599</v>
      </c>
      <c r="B24" s="9">
        <v>5.6403269895855797</v>
      </c>
    </row>
    <row r="25" spans="1:2">
      <c r="A25" s="9">
        <v>688.23528751782499</v>
      </c>
      <c r="B25" s="9">
        <v>5.7314032172512102</v>
      </c>
    </row>
    <row r="26" spans="1:2">
      <c r="A26" s="9">
        <v>761.76469378267905</v>
      </c>
      <c r="B26" s="9">
        <v>5.82394652427321</v>
      </c>
    </row>
    <row r="27" spans="1:2">
      <c r="A27" s="9">
        <v>841.17647498811596</v>
      </c>
      <c r="B27" s="9">
        <v>5.82394652427321</v>
      </c>
    </row>
    <row r="28" spans="1:2">
      <c r="A28" s="9">
        <v>919.11757831067996</v>
      </c>
      <c r="B28" s="9">
        <v>5.9179877173700799</v>
      </c>
    </row>
    <row r="29" spans="1:2">
      <c r="A29" s="9">
        <v>1004.4117344566901</v>
      </c>
      <c r="B29" s="9">
        <v>6.0135364012532202</v>
      </c>
    </row>
    <row r="30" spans="1:2">
      <c r="A30" s="9">
        <v>1080.8822720933499</v>
      </c>
      <c r="B30" s="9">
        <v>6.1106426987064397</v>
      </c>
    </row>
    <row r="31" spans="1:2">
      <c r="A31" s="9">
        <v>1147.0587377317199</v>
      </c>
      <c r="B31" s="9">
        <v>6.1106426987064397</v>
      </c>
    </row>
    <row r="32" spans="1:2">
      <c r="A32" s="9">
        <v>1200</v>
      </c>
      <c r="B32" s="9">
        <v>6.2093132698698303</v>
      </c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  <row r="36" spans="1:2">
      <c r="A36" s="7"/>
      <c r="B36" s="7"/>
    </row>
    <row r="37" spans="1:2">
      <c r="A37" s="7"/>
      <c r="B37" s="7"/>
    </row>
    <row r="38" spans="1:2">
      <c r="A38" s="7"/>
      <c r="B38" s="7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B9B4-29FD-4B12-A154-DBBA632A3B46}">
  <dimension ref="A1:A2"/>
  <sheetViews>
    <sheetView workbookViewId="0">
      <selection activeCell="F15" sqref="F15"/>
    </sheetView>
  </sheetViews>
  <sheetFormatPr defaultRowHeight="15.6"/>
  <sheetData>
    <row r="1" spans="1:1">
      <c r="A1" t="s">
        <v>24</v>
      </c>
    </row>
    <row r="2" spans="1:1">
      <c r="A2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2A88-AA9B-4109-AD3F-37DCA9952717}">
  <dimension ref="A1:A2"/>
  <sheetViews>
    <sheetView workbookViewId="0">
      <selection activeCell="D7" sqref="D7"/>
    </sheetView>
  </sheetViews>
  <sheetFormatPr defaultRowHeight="15.6"/>
  <sheetData>
    <row r="1" spans="1:1">
      <c r="A1" t="s">
        <v>25</v>
      </c>
    </row>
    <row r="2" spans="1:1">
      <c r="A2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BFA8-5652-4098-90B7-B936EB77AAE0}">
  <dimension ref="A1:A2"/>
  <sheetViews>
    <sheetView workbookViewId="0">
      <selection activeCell="B7" sqref="B7"/>
    </sheetView>
  </sheetViews>
  <sheetFormatPr defaultRowHeight="15.6"/>
  <sheetData>
    <row r="1" spans="1:1">
      <c r="A1" t="s">
        <v>27</v>
      </c>
    </row>
    <row r="2" spans="1:1">
      <c r="A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Rg</vt:lpstr>
      <vt:lpstr>Transfer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兆威 蔡</dc:creator>
  <cp:keywords/>
  <dc:description/>
  <cp:lastModifiedBy>Tung Nguyen</cp:lastModifiedBy>
  <cp:revision/>
  <dcterms:created xsi:type="dcterms:W3CDTF">2025-07-17T11:07:41Z</dcterms:created>
  <dcterms:modified xsi:type="dcterms:W3CDTF">2026-05-14T03:06:57Z</dcterms:modified>
  <cp:category/>
  <cp:contentStatus/>
</cp:coreProperties>
</file>