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NSF040120L4A1\"/>
    </mc:Choice>
  </mc:AlternateContent>
  <xr:revisionPtr revIDLastSave="0" documentId="13_ncr:1_{72F164D7-C58B-443F-A640-C24AD96584EF}" xr6:coauthVersionLast="47" xr6:coauthVersionMax="47" xr10:uidLastSave="{00000000-0000-0000-0000-000000000000}"/>
  <bookViews>
    <workbookView xWindow="-96" yWindow="-96" windowWidth="23232" windowHeight="13872" tabRatio="811" activeTab="12" xr2:uid="{1E0CD794-3177-40A9-A113-75F46A9DD563}"/>
  </bookViews>
  <sheets>
    <sheet name="Capacitance" sheetId="1" r:id="rId1"/>
    <sheet name="Rds(on)" sheetId="8" r:id="rId2"/>
    <sheet name="Output" sheetId="4" r:id="rId3"/>
    <sheet name="Rg" sheetId="9" r:id="rId4"/>
    <sheet name="Transfer" sheetId="5" r:id="rId5"/>
    <sheet name="VTH" sheetId="6" r:id="rId6"/>
    <sheet name="body diode" sheetId="7" r:id="rId7"/>
    <sheet name="Ciss" sheetId="10" r:id="rId8"/>
    <sheet name="Coss" sheetId="11" r:id="rId9"/>
    <sheet name="Crss" sheetId="12" r:id="rId10"/>
    <sheet name="Eon" sheetId="13" r:id="rId11"/>
    <sheet name="Eoff" sheetId="14" r:id="rId12"/>
    <sheet name="ID_25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8" l="1"/>
</calcChain>
</file>

<file path=xl/sharedStrings.xml><?xml version="1.0" encoding="utf-8"?>
<sst xmlns="http://schemas.openxmlformats.org/spreadsheetml/2006/main" count="92" uniqueCount="29">
  <si>
    <t>Ciss</t>
    <phoneticPr fontId="3" type="noConversion"/>
  </si>
  <si>
    <t>Coss</t>
    <phoneticPr fontId="3" type="noConversion"/>
  </si>
  <si>
    <t>Crss</t>
    <phoneticPr fontId="3" type="noConversion"/>
  </si>
  <si>
    <t>Rds(on)</t>
  </si>
  <si>
    <t>Vds(V)</t>
    <phoneticPr fontId="3" type="noConversion"/>
  </si>
  <si>
    <t>Ids(A)</t>
    <phoneticPr fontId="3" type="noConversion"/>
  </si>
  <si>
    <t>VGS</t>
  </si>
  <si>
    <t>Rg</t>
    <phoneticPr fontId="3" type="noConversion"/>
  </si>
  <si>
    <t>Vgs(V)</t>
    <phoneticPr fontId="3" type="noConversion"/>
  </si>
  <si>
    <t>Vds</t>
    <phoneticPr fontId="3" type="noConversion"/>
  </si>
  <si>
    <t>VTH</t>
    <phoneticPr fontId="3" type="noConversion"/>
  </si>
  <si>
    <t>Vsd</t>
    <phoneticPr fontId="3" type="noConversion"/>
  </si>
  <si>
    <t>Isd</t>
    <phoneticPr fontId="3" type="noConversion"/>
  </si>
  <si>
    <t>Tj</t>
    <phoneticPr fontId="3" type="noConversion"/>
  </si>
  <si>
    <t>Vds_V</t>
  </si>
  <si>
    <t>Ciss_pF</t>
  </si>
  <si>
    <t>Coss_pF</t>
    <phoneticPr fontId="3" type="noConversion"/>
  </si>
  <si>
    <t>Crss_pF</t>
    <phoneticPr fontId="3" type="noConversion"/>
  </si>
  <si>
    <t>x</t>
  </si>
  <si>
    <t>y</t>
  </si>
  <si>
    <t>20V</t>
  </si>
  <si>
    <t>10V</t>
  </si>
  <si>
    <t>1980pF</t>
  </si>
  <si>
    <t>109pF</t>
  </si>
  <si>
    <t>3pF</t>
  </si>
  <si>
    <t>40m</t>
  </si>
  <si>
    <t>Eon</t>
  </si>
  <si>
    <t>Eoff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</si>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</sst>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2">
    <cellStyle name="Normal" xfId="0" builtinId="0"/>
    <cellStyle name="一般 2" xfId="1" xr:uid="{1658029B-9C21-4EC5-95DB-C2709D833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Output!$C$2:$C$35</c:f>
              <c:numCache>
                <c:formatCode>General</c:formatCode>
                <c:ptCount val="34"/>
                <c:pt idx="0">
                  <c:v>0</c:v>
                </c:pt>
                <c:pt idx="1">
                  <c:v>0.182118948068203</c:v>
                </c:pt>
                <c:pt idx="2">
                  <c:v>0.43046331265523202</c:v>
                </c:pt>
                <c:pt idx="3">
                  <c:v>0.67880767724226199</c:v>
                </c:pt>
                <c:pt idx="4">
                  <c:v>0.96026411851632498</c:v>
                </c:pt>
                <c:pt idx="5">
                  <c:v>1.22516452144687</c:v>
                </c:pt>
                <c:pt idx="6">
                  <c:v>1.4569528476903799</c:v>
                </c:pt>
                <c:pt idx="7">
                  <c:v>1.7549665904527201</c:v>
                </c:pt>
                <c:pt idx="8">
                  <c:v>2.06953637155857</c:v>
                </c:pt>
                <c:pt idx="9">
                  <c:v>2.3509928128326401</c:v>
                </c:pt>
                <c:pt idx="10">
                  <c:v>2.71523070896904</c:v>
                </c:pt>
                <c:pt idx="11">
                  <c:v>3.04635652841842</c:v>
                </c:pt>
                <c:pt idx="12">
                  <c:v>3.3940396493560598</c:v>
                </c:pt>
                <c:pt idx="13">
                  <c:v>3.75827754549247</c:v>
                </c:pt>
                <c:pt idx="14">
                  <c:v>4.0894033649418402</c:v>
                </c:pt>
                <c:pt idx="15">
                  <c:v>4.5033106392535602</c:v>
                </c:pt>
                <c:pt idx="16">
                  <c:v>4.85099249704645</c:v>
                </c:pt>
                <c:pt idx="17">
                  <c:v>5.2317876946711301</c:v>
                </c:pt>
                <c:pt idx="18">
                  <c:v>5.5960255908075398</c:v>
                </c:pt>
                <c:pt idx="19">
                  <c:v>6.0596022432945604</c:v>
                </c:pt>
                <c:pt idx="20">
                  <c:v>6.4900655559497897</c:v>
                </c:pt>
                <c:pt idx="21">
                  <c:v>6.8874167919179898</c:v>
                </c:pt>
                <c:pt idx="22">
                  <c:v>7.2847680278861899</c:v>
                </c:pt>
                <c:pt idx="23">
                  <c:v>7.7814567570602504</c:v>
                </c:pt>
                <c:pt idx="24">
                  <c:v>8.2119200697154806</c:v>
                </c:pt>
                <c:pt idx="25">
                  <c:v>8.6754954590577498</c:v>
                </c:pt>
                <c:pt idx="26">
                  <c:v>8.9900652401636005</c:v>
                </c:pt>
                <c:pt idx="27">
                  <c:v>9.3377470979564894</c:v>
                </c:pt>
              </c:numCache>
            </c:numRef>
          </c:xVal>
          <c:yVal>
            <c:numRef>
              <c:f>Output!$D$2:$D$35</c:f>
              <c:numCache>
                <c:formatCode>General</c:formatCode>
                <c:ptCount val="34"/>
                <c:pt idx="0">
                  <c:v>0</c:v>
                </c:pt>
                <c:pt idx="1">
                  <c:v>5.0414634026374996</c:v>
                </c:pt>
                <c:pt idx="2">
                  <c:v>12.205634386920901</c:v>
                </c:pt>
                <c:pt idx="3">
                  <c:v>19.3698053712044</c:v>
                </c:pt>
                <c:pt idx="4">
                  <c:v>27.064678555690399</c:v>
                </c:pt>
                <c:pt idx="5">
                  <c:v>33.432831666377503</c:v>
                </c:pt>
                <c:pt idx="6">
                  <c:v>39.535648859837998</c:v>
                </c:pt>
                <c:pt idx="7">
                  <c:v>47.495847839634301</c:v>
                </c:pt>
                <c:pt idx="8">
                  <c:v>53.863990828404901</c:v>
                </c:pt>
                <c:pt idx="9">
                  <c:v>60.762846139294602</c:v>
                </c:pt>
                <c:pt idx="10">
                  <c:v>68.192373284637597</c:v>
                </c:pt>
                <c:pt idx="11">
                  <c:v>74.825872434467797</c:v>
                </c:pt>
                <c:pt idx="12">
                  <c:v>82.255389457894296</c:v>
                </c:pt>
                <c:pt idx="13">
                  <c:v>88.092870734128198</c:v>
                </c:pt>
                <c:pt idx="14">
                  <c:v>93.930341888445597</c:v>
                </c:pt>
                <c:pt idx="15">
                  <c:v>100.298505121049</c:v>
                </c:pt>
                <c:pt idx="16">
                  <c:v>105.870640358139</c:v>
                </c:pt>
                <c:pt idx="17">
                  <c:v>111.442785717147</c:v>
                </c:pt>
                <c:pt idx="18">
                  <c:v>117.014926015196</c:v>
                </c:pt>
                <c:pt idx="19">
                  <c:v>123.11773308674</c:v>
                </c:pt>
                <c:pt idx="20">
                  <c:v>128.15920155033501</c:v>
                </c:pt>
                <c:pt idx="21">
                  <c:v>133.20065989201501</c:v>
                </c:pt>
                <c:pt idx="22">
                  <c:v>137.97678231646699</c:v>
                </c:pt>
                <c:pt idx="23">
                  <c:v>142.75289967996201</c:v>
                </c:pt>
                <c:pt idx="24">
                  <c:v>147.52902210441499</c:v>
                </c:pt>
                <c:pt idx="25">
                  <c:v>151.509121594313</c:v>
                </c:pt>
                <c:pt idx="26">
                  <c:v>154.427854640992</c:v>
                </c:pt>
                <c:pt idx="27">
                  <c:v>157.611938787773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7A6-B593-D2A23B67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216543"/>
        <c:axId val="2129229439"/>
      </c:scatterChart>
      <c:valAx>
        <c:axId val="212921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29439"/>
        <c:crosses val="autoZero"/>
        <c:crossBetween val="midCat"/>
      </c:valAx>
      <c:valAx>
        <c:axId val="21292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1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Transfer!$C$2:$C$35</c:f>
              <c:numCache>
                <c:formatCode>General</c:formatCode>
                <c:ptCount val="34"/>
                <c:pt idx="0">
                  <c:v>0</c:v>
                </c:pt>
                <c:pt idx="1">
                  <c:v>5.0246295421210201</c:v>
                </c:pt>
                <c:pt idx="2">
                  <c:v>5.8784879114799704</c:v>
                </c:pt>
                <c:pt idx="3">
                  <c:v>6.7651890110649999</c:v>
                </c:pt>
                <c:pt idx="4">
                  <c:v>7.6847278297790398</c:v>
                </c:pt>
                <c:pt idx="5">
                  <c:v>8.3415423455241609</c:v>
                </c:pt>
                <c:pt idx="6">
                  <c:v>9.0311995914953602</c:v>
                </c:pt>
                <c:pt idx="7">
                  <c:v>9.6551713770143994</c:v>
                </c:pt>
                <c:pt idx="8">
                  <c:v>10.1806249940493</c:v>
                </c:pt>
                <c:pt idx="9">
                  <c:v>10.7389163302132</c:v>
                </c:pt>
                <c:pt idx="10">
                  <c:v>11.1330040374409</c:v>
                </c:pt>
                <c:pt idx="11">
                  <c:v>11.5599344748946</c:v>
                </c:pt>
                <c:pt idx="12">
                  <c:v>11.9211819574447</c:v>
                </c:pt>
                <c:pt idx="13">
                  <c:v>12.2824294399948</c:v>
                </c:pt>
                <c:pt idx="14">
                  <c:v>12.6108366978674</c:v>
                </c:pt>
                <c:pt idx="15">
                  <c:v>12.972086685966</c:v>
                </c:pt>
                <c:pt idx="16">
                  <c:v>13.3333341685161</c:v>
                </c:pt>
                <c:pt idx="17">
                  <c:v>13.727421875743801</c:v>
                </c:pt>
                <c:pt idx="18">
                  <c:v>14.088669358293901</c:v>
                </c:pt>
                <c:pt idx="19">
                  <c:v>14.3842363914889</c:v>
                </c:pt>
                <c:pt idx="20">
                  <c:v>14.7126436493615</c:v>
                </c:pt>
                <c:pt idx="21">
                  <c:v>15.1067338621377</c:v>
                </c:pt>
                <c:pt idx="22">
                  <c:v>15.435141120010201</c:v>
                </c:pt>
                <c:pt idx="23">
                  <c:v>15.8620690519154</c:v>
                </c:pt>
                <c:pt idx="24">
                  <c:v>16.190476309788</c:v>
                </c:pt>
                <c:pt idx="25">
                  <c:v>16.617406747241699</c:v>
                </c:pt>
                <c:pt idx="26">
                  <c:v>17.077177409373</c:v>
                </c:pt>
                <c:pt idx="27">
                  <c:v>17.471265116600701</c:v>
                </c:pt>
                <c:pt idx="28">
                  <c:v>17.865352823828299</c:v>
                </c:pt>
                <c:pt idx="29">
                  <c:v>18.292283261282101</c:v>
                </c:pt>
                <c:pt idx="30">
                  <c:v>18.784894148090899</c:v>
                </c:pt>
                <c:pt idx="31">
                  <c:v>19.244664810222201</c:v>
                </c:pt>
                <c:pt idx="32">
                  <c:v>19.671592742127402</c:v>
                </c:pt>
                <c:pt idx="33">
                  <c:v>19.967159775322401</c:v>
                </c:pt>
              </c:numCache>
            </c:numRef>
          </c:xVal>
          <c:yVal>
            <c:numRef>
              <c:f>Transfer!$D$2:$D$35</c:f>
              <c:numCache>
                <c:formatCode>General</c:formatCode>
                <c:ptCount val="34"/>
                <c:pt idx="0">
                  <c:v>0</c:v>
                </c:pt>
                <c:pt idx="1">
                  <c:v>0.26317393928246602</c:v>
                </c:pt>
                <c:pt idx="2">
                  <c:v>1.31578938700156</c:v>
                </c:pt>
                <c:pt idx="3">
                  <c:v>2.8947527132855901</c:v>
                </c:pt>
                <c:pt idx="4">
                  <c:v>5.2631575480062498</c:v>
                </c:pt>
                <c:pt idx="5">
                  <c:v>8.1579102612918302</c:v>
                </c:pt>
                <c:pt idx="6">
                  <c:v>11.5789506210842</c:v>
                </c:pt>
                <c:pt idx="7">
                  <c:v>15.7894726440187</c:v>
                </c:pt>
                <c:pt idx="8">
                  <c:v>20.000014744305801</c:v>
                </c:pt>
                <c:pt idx="9">
                  <c:v>24.736854529776199</c:v>
                </c:pt>
                <c:pt idx="10">
                  <c:v>29.210530414640399</c:v>
                </c:pt>
                <c:pt idx="11">
                  <c:v>33.684216338181002</c:v>
                </c:pt>
                <c:pt idx="12">
                  <c:v>38.421056123651297</c:v>
                </c:pt>
                <c:pt idx="13">
                  <c:v>43.684213671657602</c:v>
                </c:pt>
                <c:pt idx="14">
                  <c:v>48.421063495804297</c:v>
                </c:pt>
                <c:pt idx="15">
                  <c:v>52.894739380668497</c:v>
                </c:pt>
                <c:pt idx="16">
                  <c:v>59.473686315676296</c:v>
                </c:pt>
                <c:pt idx="17">
                  <c:v>65.526325526824607</c:v>
                </c:pt>
                <c:pt idx="18">
                  <c:v>71.842108561226297</c:v>
                </c:pt>
                <c:pt idx="19">
                  <c:v>77.105266109232502</c:v>
                </c:pt>
                <c:pt idx="20">
                  <c:v>82.368423657238793</c:v>
                </c:pt>
                <c:pt idx="21">
                  <c:v>89.736842216712205</c:v>
                </c:pt>
                <c:pt idx="22">
                  <c:v>94.999999764718495</c:v>
                </c:pt>
                <c:pt idx="23">
                  <c:v>102.368428362868</c:v>
                </c:pt>
                <c:pt idx="24">
                  <c:v>109.21052915980501</c:v>
                </c:pt>
                <c:pt idx="25">
                  <c:v>114.736835550403</c:v>
                </c:pt>
                <c:pt idx="26">
                  <c:v>122.105264148553</c:v>
                </c:pt>
                <c:pt idx="27">
                  <c:v>127.894729420419</c:v>
                </c:pt>
                <c:pt idx="28">
                  <c:v>133.684209750299</c:v>
                </c:pt>
                <c:pt idx="29">
                  <c:v>138.68421343637601</c:v>
                </c:pt>
                <c:pt idx="30">
                  <c:v>144.21052986564999</c:v>
                </c:pt>
                <c:pt idx="31">
                  <c:v>148.94736965112</c:v>
                </c:pt>
                <c:pt idx="32">
                  <c:v>152.89473781212499</c:v>
                </c:pt>
                <c:pt idx="33">
                  <c:v>155.52631658612799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C-4298-A79E-B956ADF50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223632"/>
        <c:axId val="1010222384"/>
      </c:scatterChart>
      <c:valAx>
        <c:axId val="101022363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0222384"/>
        <c:crosses val="autoZero"/>
        <c:crossBetween val="midCat"/>
      </c:valAx>
      <c:valAx>
        <c:axId val="1010222384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0223632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3930555555555557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'body diode'!$B$1</c:f>
              <c:strCache>
                <c:ptCount val="1"/>
                <c:pt idx="0">
                  <c:v>Isd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diode'!$A$2:$A$29</c:f>
              <c:numCache>
                <c:formatCode>General</c:formatCode>
                <c:ptCount val="28"/>
                <c:pt idx="0">
                  <c:v>0</c:v>
                </c:pt>
                <c:pt idx="1">
                  <c:v>0.74354610327679205</c:v>
                </c:pt>
                <c:pt idx="2">
                  <c:v>1.28055096573561</c:v>
                </c:pt>
                <c:pt idx="3">
                  <c:v>1.6523236234293499</c:v>
                </c:pt>
                <c:pt idx="4">
                  <c:v>1.98278882084881</c:v>
                </c:pt>
                <c:pt idx="5">
                  <c:v>2.2719449822153601</c:v>
                </c:pt>
                <c:pt idx="6">
                  <c:v>2.4784854351440302</c:v>
                </c:pt>
                <c:pt idx="7">
                  <c:v>2.7056804060991499</c:v>
                </c:pt>
                <c:pt idx="8">
                  <c:v>2.91222085902782</c:v>
                </c:pt>
                <c:pt idx="9">
                  <c:v>3.1290881770250598</c:v>
                </c:pt>
                <c:pt idx="10">
                  <c:v>3.2943203817901399</c:v>
                </c:pt>
                <c:pt idx="11">
                  <c:v>3.4905339696502402</c:v>
                </c:pt>
                <c:pt idx="12">
                  <c:v>3.5938041961145699</c:v>
                </c:pt>
                <c:pt idx="13">
                  <c:v>3.7796901310167899</c:v>
                </c:pt>
                <c:pt idx="14">
                  <c:v>3.8829603574811302</c:v>
                </c:pt>
                <c:pt idx="15">
                  <c:v>4.05852021520408</c:v>
                </c:pt>
                <c:pt idx="16">
                  <c:v>4.20309868983201</c:v>
                </c:pt>
                <c:pt idx="17">
                  <c:v>4.2960412633384699</c:v>
                </c:pt>
                <c:pt idx="18">
                  <c:v>4.40963914276068</c:v>
                </c:pt>
                <c:pt idx="19">
                  <c:v>4.5129093692250102</c:v>
                </c:pt>
                <c:pt idx="20">
                  <c:v>4.5955250776629004</c:v>
                </c:pt>
                <c:pt idx="21">
                  <c:v>4.6987953041272403</c:v>
                </c:pt>
                <c:pt idx="22">
                  <c:v>4.7917386655229999</c:v>
                </c:pt>
                <c:pt idx="23">
                  <c:v>4.8743551618501897</c:v>
                </c:pt>
                <c:pt idx="24">
                  <c:v>4.9363171401509298</c:v>
                </c:pt>
                <c:pt idx="25">
                  <c:v>5.0499142316838297</c:v>
                </c:pt>
              </c:numCache>
            </c:numRef>
          </c:xVal>
          <c:yVal>
            <c:numRef>
              <c:f>'body diode'!$B$2:$B$29</c:f>
              <c:numCache>
                <c:formatCode>0.00E+00</c:formatCode>
                <c:ptCount val="28"/>
                <c:pt idx="0" formatCode="General">
                  <c:v>0</c:v>
                </c:pt>
                <c:pt idx="1">
                  <c:v>1.0000000000000001E-9</c:v>
                </c:pt>
                <c:pt idx="2">
                  <c:v>2.0000000000000001E-9</c:v>
                </c:pt>
                <c:pt idx="3" formatCode="General">
                  <c:v>0.69084631401073904</c:v>
                </c:pt>
                <c:pt idx="4" formatCode="General">
                  <c:v>2.3488732510452301</c:v>
                </c:pt>
                <c:pt idx="5" formatCode="General">
                  <c:v>4.5595793475839601</c:v>
                </c:pt>
                <c:pt idx="6" formatCode="General">
                  <c:v>7.5993094541181003</c:v>
                </c:pt>
                <c:pt idx="7" formatCode="General">
                  <c:v>11.6062043714587</c:v>
                </c:pt>
                <c:pt idx="8" formatCode="General">
                  <c:v>14.5077673234864</c:v>
                </c:pt>
                <c:pt idx="9" formatCode="General">
                  <c:v>16.994818270516301</c:v>
                </c:pt>
                <c:pt idx="10" formatCode="General">
                  <c:v>19.6200311013136</c:v>
                </c:pt>
                <c:pt idx="11" formatCode="General">
                  <c:v>22.7979230916152</c:v>
                </c:pt>
                <c:pt idx="12" formatCode="General">
                  <c:v>25.699480772903801</c:v>
                </c:pt>
                <c:pt idx="13" formatCode="General">
                  <c:v>29.291879497463999</c:v>
                </c:pt>
                <c:pt idx="14" formatCode="General">
                  <c:v>32.055264753506897</c:v>
                </c:pt>
                <c:pt idx="15" formatCode="General">
                  <c:v>36.753021797075597</c:v>
                </c:pt>
                <c:pt idx="16" formatCode="General">
                  <c:v>40.759927255894397</c:v>
                </c:pt>
                <c:pt idx="17" formatCode="General">
                  <c:v>44.905005139958803</c:v>
                </c:pt>
                <c:pt idx="18" formatCode="General">
                  <c:v>49.188255449268901</c:v>
                </c:pt>
                <c:pt idx="19" formatCode="General">
                  <c:v>52.780654173829099</c:v>
                </c:pt>
                <c:pt idx="20" formatCode="General">
                  <c:v>56.649389842771797</c:v>
                </c:pt>
                <c:pt idx="21" formatCode="General">
                  <c:v>61.899826045844698</c:v>
                </c:pt>
                <c:pt idx="22" formatCode="General">
                  <c:v>66.183073719785199</c:v>
                </c:pt>
                <c:pt idx="23" formatCode="General">
                  <c:v>70.189981813973603</c:v>
                </c:pt>
                <c:pt idx="24" formatCode="General">
                  <c:v>73.229706649768602</c:v>
                </c:pt>
                <c:pt idx="25" formatCode="General">
                  <c:v>79.309155003673993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C-49FD-A5EE-ACAD64F34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9967"/>
        <c:axId val="93622463"/>
      </c:scatterChart>
      <c:valAx>
        <c:axId val="9361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22463"/>
        <c:crosses val="autoZero"/>
        <c:crossBetween val="midCat"/>
      </c:valAx>
      <c:valAx>
        <c:axId val="93622463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Ciss!$A$2:$A$40</c:f>
              <c:numCache>
                <c:formatCode>General</c:formatCode>
                <c:ptCount val="39"/>
                <c:pt idx="0">
                  <c:v>0.1</c:v>
                </c:pt>
                <c:pt idx="1">
                  <c:v>0.219214698916848</c:v>
                </c:pt>
                <c:pt idx="2">
                  <c:v>0.36599753019501002</c:v>
                </c:pt>
                <c:pt idx="3">
                  <c:v>0.641145230066133</c:v>
                </c:pt>
                <c:pt idx="4">
                  <c:v>1.07044764164689</c:v>
                </c:pt>
                <c:pt idx="5">
                  <c:v>1.7872031163131299</c:v>
                </c:pt>
                <c:pt idx="6">
                  <c:v>2.50184709475222</c:v>
                </c:pt>
                <c:pt idx="7">
                  <c:v>3.98107170553497</c:v>
                </c:pt>
                <c:pt idx="8">
                  <c:v>6.3348923113067999</c:v>
                </c:pt>
                <c:pt idx="9">
                  <c:v>10.747417883243999</c:v>
                </c:pt>
                <c:pt idx="10">
                  <c:v>15.785587992003499</c:v>
                </c:pt>
                <c:pt idx="11">
                  <c:v>23.185549399896502</c:v>
                </c:pt>
                <c:pt idx="12">
                  <c:v>32.456691059284097</c:v>
                </c:pt>
                <c:pt idx="13">
                  <c:v>47.671725265692999</c:v>
                </c:pt>
                <c:pt idx="14">
                  <c:v>78.327260498913105</c:v>
                </c:pt>
                <c:pt idx="15">
                  <c:v>124.638488578444</c:v>
                </c:pt>
                <c:pt idx="16">
                  <c:v>195.17985674312001</c:v>
                </c:pt>
                <c:pt idx="17">
                  <c:v>341.911143742327</c:v>
                </c:pt>
                <c:pt idx="18">
                  <c:v>526.91326305265102</c:v>
                </c:pt>
                <c:pt idx="19">
                  <c:v>937.93729917677797</c:v>
                </c:pt>
              </c:numCache>
            </c:numRef>
          </c:xVal>
          <c:yVal>
            <c:numRef>
              <c:f>Ciss!$B$2:$B$40</c:f>
              <c:numCache>
                <c:formatCode>General</c:formatCode>
                <c:ptCount val="39"/>
                <c:pt idx="0">
                  <c:v>2782.5591782583001</c:v>
                </c:pt>
                <c:pt idx="1">
                  <c:v>2782.5591782583001</c:v>
                </c:pt>
                <c:pt idx="2">
                  <c:v>2738.4192492958</c:v>
                </c:pt>
                <c:pt idx="3">
                  <c:v>2694.9795150835198</c:v>
                </c:pt>
                <c:pt idx="4">
                  <c:v>2568.7520701886501</c:v>
                </c:pt>
                <c:pt idx="5">
                  <c:v>2260.3031474219401</c:v>
                </c:pt>
                <c:pt idx="6">
                  <c:v>2189.1612325002902</c:v>
                </c:pt>
                <c:pt idx="7">
                  <c:v>2189.1612325002902</c:v>
                </c:pt>
                <c:pt idx="8">
                  <c:v>2120.2584738902601</c:v>
                </c:pt>
                <c:pt idx="9">
                  <c:v>2120.2584738902601</c:v>
                </c:pt>
                <c:pt idx="10">
                  <c:v>1988.8913450857599</c:v>
                </c:pt>
                <c:pt idx="11">
                  <c:v>2020.94981192161</c:v>
                </c:pt>
                <c:pt idx="12">
                  <c:v>2020.94981192161</c:v>
                </c:pt>
                <c:pt idx="13">
                  <c:v>1957.3414239296601</c:v>
                </c:pt>
                <c:pt idx="14">
                  <c:v>2020.94981192161</c:v>
                </c:pt>
                <c:pt idx="15">
                  <c:v>1988.8913450857599</c:v>
                </c:pt>
                <c:pt idx="16">
                  <c:v>1988.8913450857599</c:v>
                </c:pt>
                <c:pt idx="17">
                  <c:v>1988.8913450857599</c:v>
                </c:pt>
                <c:pt idx="18">
                  <c:v>1988.8913450857599</c:v>
                </c:pt>
                <c:pt idx="19">
                  <c:v>1988.8913450857599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F-4FDA-9AAF-5CF13E9F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3311"/>
        <c:axId val="93614559"/>
      </c:scatterChart>
      <c:valAx>
        <c:axId val="936133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4559"/>
        <c:crosses val="autoZero"/>
        <c:crossBetween val="midCat"/>
      </c:valAx>
      <c:valAx>
        <c:axId val="93614559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33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7171296296296298"/>
          <c:w val="0.8585301837270341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Coss!$B$1</c:f>
              <c:strCache>
                <c:ptCount val="1"/>
                <c:pt idx="0">
                  <c:v>Coss_pF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Coss!$A$2:$A$33</c:f>
              <c:numCache>
                <c:formatCode>0.00E+00</c:formatCode>
                <c:ptCount val="32"/>
                <c:pt idx="0" formatCode="General">
                  <c:v>0.1</c:v>
                </c:pt>
                <c:pt idx="1">
                  <c:v>0.23371999299999999</c:v>
                </c:pt>
                <c:pt idx="2" formatCode="General">
                  <c:v>0.422753251</c:v>
                </c:pt>
                <c:pt idx="3" formatCode="General">
                  <c:v>0.764677037</c:v>
                </c:pt>
                <c:pt idx="4" formatCode="General">
                  <c:v>1.141277071</c:v>
                </c:pt>
                <c:pt idx="5" formatCode="General">
                  <c:v>1.4281785380000001</c:v>
                </c:pt>
                <c:pt idx="6" formatCode="General">
                  <c:v>2.0976794829999998</c:v>
                </c:pt>
                <c:pt idx="7" formatCode="General">
                  <c:v>3.3379387789999999</c:v>
                </c:pt>
                <c:pt idx="8" formatCode="General">
                  <c:v>4.9026963390000002</c:v>
                </c:pt>
                <c:pt idx="9" formatCode="General">
                  <c:v>6.8631239949999996</c:v>
                </c:pt>
                <c:pt idx="10" formatCode="General">
                  <c:v>8.727094353</c:v>
                </c:pt>
                <c:pt idx="11" formatCode="General">
                  <c:v>10.24318199</c:v>
                </c:pt>
                <c:pt idx="12" formatCode="General">
                  <c:v>15.78558799</c:v>
                </c:pt>
                <c:pt idx="13" formatCode="General">
                  <c:v>17.943747510000001</c:v>
                </c:pt>
                <c:pt idx="14" formatCode="General">
                  <c:v>25.52445135</c:v>
                </c:pt>
                <c:pt idx="15" formatCode="General">
                  <c:v>39.335332080000001</c:v>
                </c:pt>
                <c:pt idx="16" formatCode="General">
                  <c:v>56.856811700000002</c:v>
                </c:pt>
                <c:pt idx="17" formatCode="General">
                  <c:v>87.621141750000007</c:v>
                </c:pt>
                <c:pt idx="18" formatCode="General">
                  <c:v>153.49250319999999</c:v>
                </c:pt>
                <c:pt idx="19" formatCode="General">
                  <c:v>252.19660540000001</c:v>
                </c:pt>
                <c:pt idx="20" formatCode="General">
                  <c:v>364.5347362</c:v>
                </c:pt>
                <c:pt idx="21" formatCode="General">
                  <c:v>680.83734909999998</c:v>
                </c:pt>
                <c:pt idx="22" formatCode="General">
                  <c:v>953.08190119999995</c:v>
                </c:pt>
              </c:numCache>
            </c:numRef>
          </c:xVal>
          <c:yVal>
            <c:numRef>
              <c:f>Coss!$B$2:$B$33</c:f>
              <c:numCache>
                <c:formatCode>General</c:formatCode>
                <c:ptCount val="32"/>
                <c:pt idx="0">
                  <c:v>3162.2779620000001</c:v>
                </c:pt>
                <c:pt idx="1">
                  <c:v>3062.7468389999999</c:v>
                </c:pt>
                <c:pt idx="2">
                  <c:v>2872.9849469999999</c:v>
                </c:pt>
                <c:pt idx="3">
                  <c:v>2610.1555819999999</c:v>
                </c:pt>
                <c:pt idx="4">
                  <c:v>2333.7562739999998</c:v>
                </c:pt>
                <c:pt idx="5">
                  <c:v>1988.891345</c:v>
                </c:pt>
                <c:pt idx="6">
                  <c:v>1778.2795289999999</c:v>
                </c:pt>
                <c:pt idx="7">
                  <c:v>1589.9697719999999</c:v>
                </c:pt>
                <c:pt idx="8">
                  <c:v>1467.7992019999999</c:v>
                </c:pt>
                <c:pt idx="9">
                  <c:v>1291.5497740000001</c:v>
                </c:pt>
                <c:pt idx="10">
                  <c:v>1154.7819489999999</c:v>
                </c:pt>
                <c:pt idx="11">
                  <c:v>1016.118801</c:v>
                </c:pt>
                <c:pt idx="12">
                  <c:v>879.92269080000005</c:v>
                </c:pt>
                <c:pt idx="13">
                  <c:v>618.96548159999998</c:v>
                </c:pt>
                <c:pt idx="14">
                  <c:v>494.81687790000001</c:v>
                </c:pt>
                <c:pt idx="15">
                  <c:v>408.42387650000001</c:v>
                </c:pt>
                <c:pt idx="16">
                  <c:v>337.11473960000001</c:v>
                </c:pt>
                <c:pt idx="17">
                  <c:v>282.74111269999997</c:v>
                </c:pt>
                <c:pt idx="18">
                  <c:v>218.91609819999999</c:v>
                </c:pt>
                <c:pt idx="19">
                  <c:v>177.8279325</c:v>
                </c:pt>
                <c:pt idx="20">
                  <c:v>149.14585930000001</c:v>
                </c:pt>
                <c:pt idx="21">
                  <c:v>111.8436317</c:v>
                </c:pt>
                <c:pt idx="22">
                  <c:v>110.0694149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E-4D81-B8F8-5725DF07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80191"/>
        <c:axId val="158679359"/>
      </c:scatterChart>
      <c:valAx>
        <c:axId val="15868019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79359"/>
        <c:crosses val="autoZero"/>
        <c:crossBetween val="midCat"/>
      </c:valAx>
      <c:valAx>
        <c:axId val="158679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8019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Crss_pF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Crss!$B$1:$B$2</c:f>
              <c:strCache>
                <c:ptCount val="2"/>
                <c:pt idx="0">
                  <c:v>Crss_pF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Crss!$A$3:$A$36</c:f>
              <c:numCache>
                <c:formatCode>General</c:formatCode>
                <c:ptCount val="34"/>
                <c:pt idx="0">
                  <c:v>0.1</c:v>
                </c:pt>
                <c:pt idx="1">
                  <c:v>0.27432228009338699</c:v>
                </c:pt>
                <c:pt idx="2">
                  <c:v>0.49619476030029003</c:v>
                </c:pt>
                <c:pt idx="3">
                  <c:v>0.77702500517040696</c:v>
                </c:pt>
                <c:pt idx="4">
                  <c:v>1.0366975394609499</c:v>
                </c:pt>
                <c:pt idx="5">
                  <c:v>1.2167946321026</c:v>
                </c:pt>
                <c:pt idx="6">
                  <c:v>1.4281785384419401</c:v>
                </c:pt>
                <c:pt idx="7">
                  <c:v>1.7308565737947501</c:v>
                </c:pt>
                <c:pt idx="8">
                  <c:v>2.4620924014946199</c:v>
                </c:pt>
                <c:pt idx="9">
                  <c:v>3.6746619407366898</c:v>
                </c:pt>
                <c:pt idx="10">
                  <c:v>5.7544021862956196</c:v>
                </c:pt>
                <c:pt idx="11">
                  <c:v>7.8014207434266201</c:v>
                </c:pt>
                <c:pt idx="12">
                  <c:v>9.4547985530084997</c:v>
                </c:pt>
                <c:pt idx="13">
                  <c:v>10.080416421552799</c:v>
                </c:pt>
                <c:pt idx="14">
                  <c:v>13.2354627604439</c:v>
                </c:pt>
                <c:pt idx="15">
                  <c:v>16.830110078635801</c:v>
                </c:pt>
                <c:pt idx="16">
                  <c:v>17.377999792602999</c:v>
                </c:pt>
                <c:pt idx="17">
                  <c:v>17.9437475121284</c:v>
                </c:pt>
                <c:pt idx="18">
                  <c:v>18.233480008684399</c:v>
                </c:pt>
                <c:pt idx="19">
                  <c:v>23.559919754088899</c:v>
                </c:pt>
                <c:pt idx="20">
                  <c:v>34.054461654983001</c:v>
                </c:pt>
                <c:pt idx="21">
                  <c:v>59.655745876014002</c:v>
                </c:pt>
                <c:pt idx="22">
                  <c:v>113.217392802756</c:v>
                </c:pt>
                <c:pt idx="23">
                  <c:v>183.066467687352</c:v>
                </c:pt>
                <c:pt idx="24">
                  <c:v>320.69121472012</c:v>
                </c:pt>
                <c:pt idx="25">
                  <c:v>703.00228080149702</c:v>
                </c:pt>
                <c:pt idx="26">
                  <c:v>953.08190122379904</c:v>
                </c:pt>
              </c:numCache>
            </c:numRef>
          </c:xVal>
          <c:yVal>
            <c:numRef>
              <c:f>Crss!$B$3:$B$36</c:f>
              <c:numCache>
                <c:formatCode>General</c:formatCode>
                <c:ptCount val="34"/>
                <c:pt idx="0">
                  <c:v>1066.05047076144</c:v>
                </c:pt>
                <c:pt idx="1">
                  <c:v>984.13696825960005</c:v>
                </c:pt>
                <c:pt idx="2">
                  <c:v>879.92269079775804</c:v>
                </c:pt>
                <c:pt idx="3">
                  <c:v>749.89434155485799</c:v>
                </c:pt>
                <c:pt idx="4">
                  <c:v>628.94282276061699</c:v>
                </c:pt>
                <c:pt idx="5">
                  <c:v>544.64208357824702</c:v>
                </c:pt>
                <c:pt idx="6">
                  <c:v>408.423876512861</c:v>
                </c:pt>
                <c:pt idx="7">
                  <c:v>316.22785643477403</c:v>
                </c:pt>
                <c:pt idx="8">
                  <c:v>248.790311218824</c:v>
                </c:pt>
                <c:pt idx="9">
                  <c:v>212.02595247035001</c:v>
                </c:pt>
                <c:pt idx="10">
                  <c:v>183.60686715483601</c:v>
                </c:pt>
                <c:pt idx="11">
                  <c:v>151.54985974216399</c:v>
                </c:pt>
                <c:pt idx="12">
                  <c:v>121.152807046923</c:v>
                </c:pt>
                <c:pt idx="13">
                  <c:v>82.540428229230002</c:v>
                </c:pt>
                <c:pt idx="14">
                  <c:v>69.227386951140403</c:v>
                </c:pt>
                <c:pt idx="15">
                  <c:v>57.140568570969997</c:v>
                </c:pt>
                <c:pt idx="16">
                  <c:v>41.500724300454202</c:v>
                </c:pt>
                <c:pt idx="17">
                  <c:v>23.713744402037701</c:v>
                </c:pt>
                <c:pt idx="18">
                  <c:v>16.4164018426941</c:v>
                </c:pt>
                <c:pt idx="19">
                  <c:v>11.9230974405327</c:v>
                </c:pt>
                <c:pt idx="20">
                  <c:v>9.2316180875849092</c:v>
                </c:pt>
                <c:pt idx="21">
                  <c:v>7.1477084645161399</c:v>
                </c:pt>
                <c:pt idx="22">
                  <c:v>5.3600259282812202</c:v>
                </c:pt>
                <c:pt idx="23">
                  <c:v>4.4954983954834802</c:v>
                </c:pt>
                <c:pt idx="24">
                  <c:v>3.65173788782886</c:v>
                </c:pt>
                <c:pt idx="25">
                  <c:v>2.6949818781544699</c:v>
                </c:pt>
                <c:pt idx="26">
                  <c:v>3.0141630780965598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E-422F-B696-ECA36716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10511"/>
        <c:axId val="100794703"/>
      </c:scatterChart>
      <c:valAx>
        <c:axId val="1008105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94703"/>
        <c:crosses val="autoZero"/>
        <c:crossBetween val="midCat"/>
      </c:valAx>
      <c:valAx>
        <c:axId val="100794703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105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278296</xdr:colOff>
      <xdr:row>5</xdr:row>
      <xdr:rowOff>19878</xdr:rowOff>
    </xdr:from>
    <xdr:to>
      <xdr:col>9</xdr:col>
      <xdr:colOff>374591</xdr:colOff>
      <xdr:row>8</xdr:row>
      <xdr:rowOff>198782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6ED308-E4DD-B461-2EBF-4469EF528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296" y="1013791"/>
          <a:ext cx="6119408" cy="775252"/>
        </a:xfrm>
        <a:prstGeom prst="rect">
          <a:avLst/>
        </a:prstGeom>
      </xdr:spPr>
    </xdr:pic>
    <xdr:clientData/>
  </xdr:twoCellAnchor>
  <xdr:twoCellAnchor>
    <xdr:from>
      <xdr:col>7</xdr:col>
      <xdr:colOff>468504</xdr:colOff>
      <xdr:row>5</xdr:row>
      <xdr:rowOff>67027</xdr:rowOff>
    </xdr:from>
    <xdr:to>
      <xdr:col>9</xdr:col>
      <xdr:colOff>324678</xdr:colOff>
      <xdr:row>8</xdr:row>
      <xdr:rowOff>172278</xdr:rowOff>
    </xdr:to>
    <xdr:sp macro="" textlink="">
      <xdr:nvSpPr>
        <xdr:cNvPr id="5" name="矩形 2">
          <a:extLst>
            <a:ext uri="{FF2B5EF4-FFF2-40B4-BE49-F238E27FC236}">
              <a16:creationId xmlns:a16="http://schemas.microsoft.com/office/drawing/2014/main" id="{00F195B3-FE32-4D58-A49C-ED292F5E1D1E}"/>
            </a:ext>
          </a:extLst>
        </xdr:cNvPr>
        <xdr:cNvSpPr/>
      </xdr:nvSpPr>
      <xdr:spPr>
        <a:xfrm>
          <a:off x="4735704" y="1094070"/>
          <a:ext cx="1075374" cy="72147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496956</xdr:colOff>
      <xdr:row>3</xdr:row>
      <xdr:rowOff>172277</xdr:rowOff>
    </xdr:from>
    <xdr:to>
      <xdr:col>11</xdr:col>
      <xdr:colOff>311426</xdr:colOff>
      <xdr:row>8</xdr:row>
      <xdr:rowOff>101425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5CC7BD2-0D4D-3F0A-AAFA-AEA0660D6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956" y="788503"/>
          <a:ext cx="6520070" cy="956192"/>
        </a:xfrm>
        <a:prstGeom prst="rect">
          <a:avLst/>
        </a:prstGeom>
      </xdr:spPr>
    </xdr:pic>
    <xdr:clientData/>
  </xdr:twoCellAnchor>
  <xdr:twoCellAnchor>
    <xdr:from>
      <xdr:col>10</xdr:col>
      <xdr:colOff>2636</xdr:colOff>
      <xdr:row>6</xdr:row>
      <xdr:rowOff>39755</xdr:rowOff>
    </xdr:from>
    <xdr:to>
      <xdr:col>11</xdr:col>
      <xdr:colOff>225287</xdr:colOff>
      <xdr:row>7</xdr:row>
      <xdr:rowOff>39756</xdr:rowOff>
    </xdr:to>
    <xdr:sp macro="" textlink="">
      <xdr:nvSpPr>
        <xdr:cNvPr id="5" name="矩形 2">
          <a:extLst>
            <a:ext uri="{FF2B5EF4-FFF2-40B4-BE49-F238E27FC236}">
              <a16:creationId xmlns:a16="http://schemas.microsoft.com/office/drawing/2014/main" id="{1F9D0BCD-5973-42CF-9DF5-A8345D171152}"/>
            </a:ext>
          </a:extLst>
        </xdr:cNvPr>
        <xdr:cNvSpPr/>
      </xdr:nvSpPr>
      <xdr:spPr>
        <a:xfrm>
          <a:off x="6098636" y="1272207"/>
          <a:ext cx="832251" cy="20541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602687</xdr:colOff>
      <xdr:row>11</xdr:row>
      <xdr:rowOff>39757</xdr:rowOff>
    </xdr:from>
    <xdr:to>
      <xdr:col>11</xdr:col>
      <xdr:colOff>470452</xdr:colOff>
      <xdr:row>27</xdr:row>
      <xdr:rowOff>60526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61B75F8-D625-4463-9FA3-83F922DBC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887" y="2299253"/>
          <a:ext cx="5354165" cy="33073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8964</xdr:colOff>
      <xdr:row>0</xdr:row>
      <xdr:rowOff>8965</xdr:rowOff>
    </xdr:from>
    <xdr:to>
      <xdr:col>11</xdr:col>
      <xdr:colOff>215153</xdr:colOff>
      <xdr:row>19</xdr:row>
      <xdr:rowOff>127879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67CAFEB-4230-335F-548C-AB0F5190E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0729" y="8965"/>
          <a:ext cx="4240306" cy="3866161"/>
        </a:xfrm>
        <a:prstGeom prst="rect">
          <a:avLst/>
        </a:prstGeom>
      </xdr:spPr>
    </xdr:pic>
    <xdr:clientData/>
  </xdr:twoCellAnchor>
  <xdr:twoCellAnchor>
    <xdr:from>
      <xdr:col>11</xdr:col>
      <xdr:colOff>278031</xdr:colOff>
      <xdr:row>0</xdr:row>
      <xdr:rowOff>179294</xdr:rowOff>
    </xdr:from>
    <xdr:to>
      <xdr:col>17</xdr:col>
      <xdr:colOff>573741</xdr:colOff>
      <xdr:row>19</xdr:row>
      <xdr:rowOff>143435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97FA0D6-7A1D-4294-B037-84FFC366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313765</xdr:colOff>
      <xdr:row>4</xdr:row>
      <xdr:rowOff>44824</xdr:rowOff>
    </xdr:from>
    <xdr:to>
      <xdr:col>8</xdr:col>
      <xdr:colOff>403412</xdr:colOff>
      <xdr:row>4</xdr:row>
      <xdr:rowOff>116542</xdr:rowOff>
    </xdr:to>
    <xdr:cxnSp macro="">
      <xdr:nvCxnSpPr>
        <xdr:cNvPr id="6" name="直線單箭頭接點 3">
          <a:extLst>
            <a:ext uri="{FF2B5EF4-FFF2-40B4-BE49-F238E27FC236}">
              <a16:creationId xmlns:a16="http://schemas.microsoft.com/office/drawing/2014/main" id="{FA5F265C-1987-499A-86B7-10D000701AFE}"/>
            </a:ext>
          </a:extLst>
        </xdr:cNvPr>
        <xdr:cNvCxnSpPr/>
      </xdr:nvCxnSpPr>
      <xdr:spPr>
        <a:xfrm>
          <a:off x="4580965" y="869577"/>
          <a:ext cx="699247" cy="71718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615462</xdr:colOff>
      <xdr:row>4</xdr:row>
      <xdr:rowOff>105506</xdr:rowOff>
    </xdr:from>
    <xdr:to>
      <xdr:col>11</xdr:col>
      <xdr:colOff>561979</xdr:colOff>
      <xdr:row>5</xdr:row>
      <xdr:rowOff>185989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78C795D-3F5C-FE7D-9B3B-83D28C58A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462" y="902675"/>
          <a:ext cx="7296886" cy="279776"/>
        </a:xfrm>
        <a:prstGeom prst="rect">
          <a:avLst/>
        </a:prstGeom>
      </xdr:spPr>
    </xdr:pic>
    <xdr:clientData/>
  </xdr:twoCellAnchor>
  <xdr:twoCellAnchor>
    <xdr:from>
      <xdr:col>9</xdr:col>
      <xdr:colOff>382306</xdr:colOff>
      <xdr:row>4</xdr:row>
      <xdr:rowOff>128956</xdr:rowOff>
    </xdr:from>
    <xdr:to>
      <xdr:col>10</xdr:col>
      <xdr:colOff>105508</xdr:colOff>
      <xdr:row>5</xdr:row>
      <xdr:rowOff>146539</xdr:rowOff>
    </xdr:to>
    <xdr:sp macro="" textlink="">
      <xdr:nvSpPr>
        <xdr:cNvPr id="5" name="矩形 2">
          <a:extLst>
            <a:ext uri="{FF2B5EF4-FFF2-40B4-BE49-F238E27FC236}">
              <a16:creationId xmlns:a16="http://schemas.microsoft.com/office/drawing/2014/main" id="{396849D5-32E0-4A4A-91EA-A16B0350CDE8}"/>
            </a:ext>
          </a:extLst>
        </xdr:cNvPr>
        <xdr:cNvSpPr/>
      </xdr:nvSpPr>
      <xdr:spPr>
        <a:xfrm>
          <a:off x="6396244" y="926125"/>
          <a:ext cx="391418" cy="2168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29625</xdr:colOff>
      <xdr:row>3</xdr:row>
      <xdr:rowOff>134470</xdr:rowOff>
    </xdr:from>
    <xdr:to>
      <xdr:col>10</xdr:col>
      <xdr:colOff>467822</xdr:colOff>
      <xdr:row>21</xdr:row>
      <xdr:rowOff>143435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E6F20-181B-B4E7-FA3B-1DC2BA6D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1390" y="726141"/>
          <a:ext cx="3799961" cy="3558988"/>
        </a:xfrm>
        <a:prstGeom prst="rect">
          <a:avLst/>
        </a:prstGeom>
      </xdr:spPr>
    </xdr:pic>
    <xdr:clientData/>
  </xdr:twoCellAnchor>
  <xdr:twoCellAnchor>
    <xdr:from>
      <xdr:col>8</xdr:col>
      <xdr:colOff>477085</xdr:colOff>
      <xdr:row>5</xdr:row>
      <xdr:rowOff>157234</xdr:rowOff>
    </xdr:from>
    <xdr:to>
      <xdr:col>9</xdr:col>
      <xdr:colOff>154016</xdr:colOff>
      <xdr:row>7</xdr:row>
      <xdr:rowOff>27210</xdr:rowOff>
    </xdr:to>
    <xdr:cxnSp macro="">
      <xdr:nvCxnSpPr>
        <xdr:cNvPr id="3" name="直線單箭頭接點 6">
          <a:extLst>
            <a:ext uri="{FF2B5EF4-FFF2-40B4-BE49-F238E27FC236}">
              <a16:creationId xmlns:a16="http://schemas.microsoft.com/office/drawing/2014/main" id="{14EDFEB5-422C-4F07-A802-B4920B8B3740}"/>
            </a:ext>
          </a:extLst>
        </xdr:cNvPr>
        <xdr:cNvCxnSpPr/>
      </xdr:nvCxnSpPr>
      <xdr:spPr>
        <a:xfrm>
          <a:off x="5353885" y="1188175"/>
          <a:ext cx="286531" cy="282353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407894</xdr:colOff>
      <xdr:row>5</xdr:row>
      <xdr:rowOff>116541</xdr:rowOff>
    </xdr:from>
    <xdr:to>
      <xdr:col>19</xdr:col>
      <xdr:colOff>103094</xdr:colOff>
      <xdr:row>18</xdr:row>
      <xdr:rowOff>179294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F4C276E-1329-4D69-ABDB-219B4911E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295835</xdr:colOff>
      <xdr:row>4</xdr:row>
      <xdr:rowOff>143435</xdr:rowOff>
    </xdr:from>
    <xdr:to>
      <xdr:col>17</xdr:col>
      <xdr:colOff>478431</xdr:colOff>
      <xdr:row>9</xdr:row>
      <xdr:rowOff>24213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C0D8C0B-36C6-10D0-B544-92EC73F45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835" y="932329"/>
          <a:ext cx="11612596" cy="866896"/>
        </a:xfrm>
        <a:prstGeom prst="rect">
          <a:avLst/>
        </a:prstGeom>
      </xdr:spPr>
    </xdr:pic>
    <xdr:clientData/>
  </xdr:twoCellAnchor>
  <xdr:twoCellAnchor>
    <xdr:from>
      <xdr:col>13</xdr:col>
      <xdr:colOff>582705</xdr:colOff>
      <xdr:row>6</xdr:row>
      <xdr:rowOff>152400</xdr:rowOff>
    </xdr:from>
    <xdr:to>
      <xdr:col>15</xdr:col>
      <xdr:colOff>53789</xdr:colOff>
      <xdr:row>8</xdr:row>
      <xdr:rowOff>98611</xdr:rowOff>
    </xdr:to>
    <xdr:sp macro="" textlink="">
      <xdr:nvSpPr>
        <xdr:cNvPr id="5" name="矩形 2">
          <a:extLst>
            <a:ext uri="{FF2B5EF4-FFF2-40B4-BE49-F238E27FC236}">
              <a16:creationId xmlns:a16="http://schemas.microsoft.com/office/drawing/2014/main" id="{97B78007-EBFC-40F5-B662-85BA52B7775A}"/>
            </a:ext>
          </a:extLst>
        </xdr:cNvPr>
        <xdr:cNvSpPr/>
      </xdr:nvSpPr>
      <xdr:spPr>
        <a:xfrm>
          <a:off x="8507505" y="1389529"/>
          <a:ext cx="690284" cy="3585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71717</xdr:colOff>
      <xdr:row>0</xdr:row>
      <xdr:rowOff>0</xdr:rowOff>
    </xdr:from>
    <xdr:to>
      <xdr:col>8</xdr:col>
      <xdr:colOff>528917</xdr:colOff>
      <xdr:row>19</xdr:row>
      <xdr:rowOff>21878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6A4A0FC-5098-789C-416E-D4475B7F1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8776" y="0"/>
          <a:ext cx="3818965" cy="3769125"/>
        </a:xfrm>
        <a:prstGeom prst="rect">
          <a:avLst/>
        </a:prstGeom>
      </xdr:spPr>
    </xdr:pic>
    <xdr:clientData/>
  </xdr:twoCellAnchor>
  <xdr:twoCellAnchor>
    <xdr:from>
      <xdr:col>8</xdr:col>
      <xdr:colOff>612025</xdr:colOff>
      <xdr:row>0</xdr:row>
      <xdr:rowOff>97837</xdr:rowOff>
    </xdr:from>
    <xdr:to>
      <xdr:col>14</xdr:col>
      <xdr:colOff>197224</xdr:colOff>
      <xdr:row>18</xdr:row>
      <xdr:rowOff>98611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FFF4C9-E784-4E7B-A69A-29FF01861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224118</xdr:colOff>
      <xdr:row>7</xdr:row>
      <xdr:rowOff>143435</xdr:rowOff>
    </xdr:from>
    <xdr:to>
      <xdr:col>6</xdr:col>
      <xdr:colOff>215793</xdr:colOff>
      <xdr:row>9</xdr:row>
      <xdr:rowOff>8964</xdr:rowOff>
    </xdr:to>
    <xdr:cxnSp macro="">
      <xdr:nvCxnSpPr>
        <xdr:cNvPr id="5" name="直線單箭頭接點 5">
          <a:extLst>
            <a:ext uri="{FF2B5EF4-FFF2-40B4-BE49-F238E27FC236}">
              <a16:creationId xmlns:a16="http://schemas.microsoft.com/office/drawing/2014/main" id="{485D98DC-7241-4CB2-9CBC-07482E923DAD}"/>
            </a:ext>
          </a:extLst>
        </xdr:cNvPr>
        <xdr:cNvCxnSpPr/>
      </xdr:nvCxnSpPr>
      <xdr:spPr>
        <a:xfrm>
          <a:off x="3272118" y="1586753"/>
          <a:ext cx="601275" cy="277905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197223</xdr:colOff>
      <xdr:row>0</xdr:row>
      <xdr:rowOff>1</xdr:rowOff>
    </xdr:from>
    <xdr:to>
      <xdr:col>7</xdr:col>
      <xdr:colOff>598677</xdr:colOff>
      <xdr:row>18</xdr:row>
      <xdr:rowOff>143437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0E32039-35CD-BB8E-0D33-007600A4A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929" y="1"/>
          <a:ext cx="3763219" cy="3702424"/>
        </a:xfrm>
        <a:prstGeom prst="rect">
          <a:avLst/>
        </a:prstGeom>
      </xdr:spPr>
    </xdr:pic>
    <xdr:clientData/>
  </xdr:twoCellAnchor>
  <xdr:twoCellAnchor>
    <xdr:from>
      <xdr:col>7</xdr:col>
      <xdr:colOff>631917</xdr:colOff>
      <xdr:row>0</xdr:row>
      <xdr:rowOff>98612</xdr:rowOff>
    </xdr:from>
    <xdr:to>
      <xdr:col>14</xdr:col>
      <xdr:colOff>627531</xdr:colOff>
      <xdr:row>18</xdr:row>
      <xdr:rowOff>197223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1D31B7-9548-4AD3-A056-EF835666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64731</xdr:colOff>
      <xdr:row>3</xdr:row>
      <xdr:rowOff>86091</xdr:rowOff>
    </xdr:from>
    <xdr:to>
      <xdr:col>5</xdr:col>
      <xdr:colOff>424384</xdr:colOff>
      <xdr:row>6</xdr:row>
      <xdr:rowOff>16538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100F2B3-5C06-48F4-806E-0DA64DDF49D0}"/>
            </a:ext>
          </a:extLst>
        </xdr:cNvPr>
        <xdr:cNvCxnSpPr/>
      </xdr:nvCxnSpPr>
      <xdr:spPr>
        <a:xfrm flipV="1">
          <a:off x="3112731" y="713620"/>
          <a:ext cx="359653" cy="549012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403412</xdr:colOff>
      <xdr:row>0</xdr:row>
      <xdr:rowOff>161364</xdr:rowOff>
    </xdr:from>
    <xdr:to>
      <xdr:col>8</xdr:col>
      <xdr:colOff>132513</xdr:colOff>
      <xdr:row>19</xdr:row>
      <xdr:rowOff>107576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90D772B-D4E8-4C6E-AEB1-821A9D9D5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118" y="161364"/>
          <a:ext cx="3763219" cy="3702424"/>
        </a:xfrm>
        <a:prstGeom prst="rect">
          <a:avLst/>
        </a:prstGeom>
      </xdr:spPr>
    </xdr:pic>
    <xdr:clientData/>
  </xdr:twoCellAnchor>
  <xdr:twoCellAnchor>
    <xdr:from>
      <xdr:col>8</xdr:col>
      <xdr:colOff>278230</xdr:colOff>
      <xdr:row>0</xdr:row>
      <xdr:rowOff>152401</xdr:rowOff>
    </xdr:from>
    <xdr:to>
      <xdr:col>15</xdr:col>
      <xdr:colOff>313765</xdr:colOff>
      <xdr:row>19</xdr:row>
      <xdr:rowOff>170329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D1C44DB-ACC1-46AC-BA09-081F0440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623688</xdr:colOff>
      <xdr:row>7</xdr:row>
      <xdr:rowOff>118662</xdr:rowOff>
    </xdr:from>
    <xdr:to>
      <xdr:col>6</xdr:col>
      <xdr:colOff>291193</xdr:colOff>
      <xdr:row>9</xdr:row>
      <xdr:rowOff>68516</xdr:rowOff>
    </xdr:to>
    <xdr:cxnSp macro="">
      <xdr:nvCxnSpPr>
        <xdr:cNvPr id="8" name="直線單箭頭接點 3">
          <a:extLst>
            <a:ext uri="{FF2B5EF4-FFF2-40B4-BE49-F238E27FC236}">
              <a16:creationId xmlns:a16="http://schemas.microsoft.com/office/drawing/2014/main" id="{4CAAA8C0-9D33-4DC2-BE9D-FA7560B41492}"/>
            </a:ext>
          </a:extLst>
        </xdr:cNvPr>
        <xdr:cNvCxnSpPr/>
      </xdr:nvCxnSpPr>
      <xdr:spPr>
        <a:xfrm flipV="1">
          <a:off x="3985453" y="1508191"/>
          <a:ext cx="339858" cy="344301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141513</xdr:colOff>
      <xdr:row>1</xdr:row>
      <xdr:rowOff>76200</xdr:rowOff>
    </xdr:from>
    <xdr:to>
      <xdr:col>7</xdr:col>
      <xdr:colOff>530161</xdr:colOff>
      <xdr:row>20</xdr:row>
      <xdr:rowOff>55710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7706577-1B07-47AB-8FB2-5AFF13319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1342" y="283029"/>
          <a:ext cx="3763219" cy="3702424"/>
        </a:xfrm>
        <a:prstGeom prst="rect">
          <a:avLst/>
        </a:prstGeom>
      </xdr:spPr>
    </xdr:pic>
    <xdr:clientData/>
  </xdr:twoCellAnchor>
  <xdr:twoCellAnchor>
    <xdr:from>
      <xdr:col>8</xdr:col>
      <xdr:colOff>107224</xdr:colOff>
      <xdr:row>1</xdr:row>
      <xdr:rowOff>114301</xdr:rowOff>
    </xdr:from>
    <xdr:to>
      <xdr:col>14</xdr:col>
      <xdr:colOff>83820</xdr:colOff>
      <xdr:row>20</xdr:row>
      <xdr:rowOff>121921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49AC935-3878-49AA-9E63-E90493EC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326572</xdr:colOff>
      <xdr:row>9</xdr:row>
      <xdr:rowOff>108857</xdr:rowOff>
    </xdr:from>
    <xdr:to>
      <xdr:col>5</xdr:col>
      <xdr:colOff>483934</xdr:colOff>
      <xdr:row>11</xdr:row>
      <xdr:rowOff>61035</xdr:rowOff>
    </xdr:to>
    <xdr:cxnSp macro="">
      <xdr:nvCxnSpPr>
        <xdr:cNvPr id="10" name="直線單箭頭接點 3">
          <a:extLst>
            <a:ext uri="{FF2B5EF4-FFF2-40B4-BE49-F238E27FC236}">
              <a16:creationId xmlns:a16="http://schemas.microsoft.com/office/drawing/2014/main" id="{C978E647-61AF-4E8A-943C-4AC8A0BF845C}"/>
            </a:ext>
          </a:extLst>
        </xdr:cNvPr>
        <xdr:cNvCxnSpPr/>
      </xdr:nvCxnSpPr>
      <xdr:spPr>
        <a:xfrm>
          <a:off x="3701143" y="1883228"/>
          <a:ext cx="157362" cy="344064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E3A-DEF0-4C97-A1E0-FD7371547529}">
  <dimension ref="A1:H2"/>
  <sheetViews>
    <sheetView zoomScale="115" zoomScaleNormal="115" workbookViewId="0">
      <selection activeCell="E14" sqref="E14"/>
    </sheetView>
  </sheetViews>
  <sheetFormatPr defaultRowHeight="15.6"/>
  <sheetData>
    <row r="1" spans="1:8">
      <c r="A1" s="2" t="s">
        <v>0</v>
      </c>
      <c r="B1" s="2" t="s">
        <v>1</v>
      </c>
      <c r="C1" s="3" t="s">
        <v>2</v>
      </c>
      <c r="D1" s="1"/>
      <c r="E1" s="1"/>
      <c r="G1" s="1"/>
      <c r="H1" s="1"/>
    </row>
    <row r="2" spans="1:8">
      <c r="A2" s="3" t="s">
        <v>22</v>
      </c>
      <c r="B2" s="3" t="s">
        <v>23</v>
      </c>
      <c r="C2" s="3" t="s">
        <v>24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5CC-F4D5-4DCA-B965-6A6E07AA85B7}">
  <dimension ref="A1:D11"/>
  <sheetViews>
    <sheetView zoomScale="115" zoomScaleNormal="115" workbookViewId="0">
      <selection activeCell="A5" sqref="A5"/>
    </sheetView>
  </sheetViews>
  <sheetFormatPr defaultRowHeight="15.6"/>
  <sheetData>
    <row r="1" spans="1:4">
      <c r="A1" s="3" t="s">
        <v>3</v>
      </c>
      <c r="B1" s="3"/>
      <c r="C1" s="3"/>
    </row>
    <row r="2" spans="1:4">
      <c r="A2" s="3" t="s">
        <v>25</v>
      </c>
      <c r="B2" s="3"/>
      <c r="C2" s="3"/>
    </row>
    <row r="3" spans="1:4">
      <c r="A3" s="3"/>
      <c r="B3" s="3"/>
      <c r="C3" s="3"/>
    </row>
    <row r="4" spans="1:4">
      <c r="A4" s="3"/>
      <c r="B4" s="3"/>
      <c r="C4" s="3"/>
    </row>
    <row r="5" spans="1:4">
      <c r="A5" s="3"/>
      <c r="B5" s="3"/>
      <c r="C5" s="3"/>
    </row>
    <row r="6" spans="1:4">
      <c r="A6" s="3"/>
      <c r="B6" s="3"/>
      <c r="C6" s="3"/>
    </row>
    <row r="11" spans="1:4">
      <c r="D11">
        <f>10.677898/9.7273153</f>
        <v>1.0977230274421144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29A6-B6D1-4621-85A4-6F464AD37E92}">
  <dimension ref="C1:E35"/>
  <sheetViews>
    <sheetView topLeftCell="C1" zoomScale="85" zoomScaleNormal="85" workbookViewId="0">
      <selection activeCell="T8" sqref="T8"/>
    </sheetView>
  </sheetViews>
  <sheetFormatPr defaultRowHeight="15.6"/>
  <sheetData>
    <row r="1" spans="3:5">
      <c r="C1" s="3" t="s">
        <v>4</v>
      </c>
      <c r="D1" s="3" t="s">
        <v>5</v>
      </c>
      <c r="E1" s="3" t="s">
        <v>6</v>
      </c>
    </row>
    <row r="2" spans="3:5">
      <c r="C2" s="7">
        <v>0</v>
      </c>
      <c r="D2" s="7">
        <v>0</v>
      </c>
      <c r="E2" s="3" t="s">
        <v>20</v>
      </c>
    </row>
    <row r="3" spans="3:5">
      <c r="C3" s="7">
        <v>0.182118948068203</v>
      </c>
      <c r="D3" s="7">
        <v>5.0414634026374996</v>
      </c>
      <c r="E3" s="3" t="s">
        <v>20</v>
      </c>
    </row>
    <row r="4" spans="3:5">
      <c r="C4" s="7">
        <v>0.43046331265523202</v>
      </c>
      <c r="D4" s="7">
        <v>12.205634386920901</v>
      </c>
      <c r="E4" s="3" t="s">
        <v>20</v>
      </c>
    </row>
    <row r="5" spans="3:5">
      <c r="C5" s="7">
        <v>0.67880767724226199</v>
      </c>
      <c r="D5" s="7">
        <v>19.3698053712044</v>
      </c>
      <c r="E5" s="3" t="s">
        <v>20</v>
      </c>
    </row>
    <row r="6" spans="3:5">
      <c r="C6" s="7">
        <v>0.96026411851632498</v>
      </c>
      <c r="D6" s="7">
        <v>27.064678555690399</v>
      </c>
      <c r="E6" s="3" t="s">
        <v>20</v>
      </c>
    </row>
    <row r="7" spans="3:5">
      <c r="C7" s="7">
        <v>1.22516452144687</v>
      </c>
      <c r="D7" s="7">
        <v>33.432831666377503</v>
      </c>
      <c r="E7" s="3" t="s">
        <v>20</v>
      </c>
    </row>
    <row r="8" spans="3:5">
      <c r="C8" s="7">
        <v>1.4569528476903799</v>
      </c>
      <c r="D8" s="7">
        <v>39.535648859837998</v>
      </c>
      <c r="E8" s="3" t="s">
        <v>20</v>
      </c>
    </row>
    <row r="9" spans="3:5">
      <c r="C9" s="7">
        <v>1.7549665904527201</v>
      </c>
      <c r="D9" s="7">
        <v>47.495847839634301</v>
      </c>
      <c r="E9" s="3" t="s">
        <v>20</v>
      </c>
    </row>
    <row r="10" spans="3:5">
      <c r="C10" s="7">
        <v>2.06953637155857</v>
      </c>
      <c r="D10" s="7">
        <v>53.863990828404901</v>
      </c>
      <c r="E10" s="3" t="s">
        <v>20</v>
      </c>
    </row>
    <row r="11" spans="3:5">
      <c r="C11" s="7">
        <v>2.3509928128326401</v>
      </c>
      <c r="D11" s="7">
        <v>60.762846139294602</v>
      </c>
      <c r="E11" s="3" t="s">
        <v>20</v>
      </c>
    </row>
    <row r="12" spans="3:5">
      <c r="C12" s="7">
        <v>2.71523070896904</v>
      </c>
      <c r="D12" s="7">
        <v>68.192373284637597</v>
      </c>
      <c r="E12" s="3" t="s">
        <v>20</v>
      </c>
    </row>
    <row r="13" spans="3:5">
      <c r="C13" s="7">
        <v>3.04635652841842</v>
      </c>
      <c r="D13" s="7">
        <v>74.825872434467797</v>
      </c>
      <c r="E13" s="3" t="s">
        <v>20</v>
      </c>
    </row>
    <row r="14" spans="3:5">
      <c r="C14" s="7">
        <v>3.3940396493560598</v>
      </c>
      <c r="D14" s="7">
        <v>82.255389457894296</v>
      </c>
      <c r="E14" s="3" t="s">
        <v>20</v>
      </c>
    </row>
    <row r="15" spans="3:5">
      <c r="C15" s="7">
        <v>3.75827754549247</v>
      </c>
      <c r="D15" s="7">
        <v>88.092870734128198</v>
      </c>
      <c r="E15" s="3" t="s">
        <v>20</v>
      </c>
    </row>
    <row r="16" spans="3:5">
      <c r="C16" s="7">
        <v>4.0894033649418402</v>
      </c>
      <c r="D16" s="7">
        <v>93.930341888445597</v>
      </c>
      <c r="E16" s="3" t="s">
        <v>20</v>
      </c>
    </row>
    <row r="17" spans="3:5">
      <c r="C17" s="7">
        <v>4.5033106392535602</v>
      </c>
      <c r="D17" s="7">
        <v>100.298505121049</v>
      </c>
      <c r="E17" s="3" t="s">
        <v>20</v>
      </c>
    </row>
    <row r="18" spans="3:5">
      <c r="C18" s="7">
        <v>4.85099249704645</v>
      </c>
      <c r="D18" s="7">
        <v>105.870640358139</v>
      </c>
      <c r="E18" s="3" t="s">
        <v>20</v>
      </c>
    </row>
    <row r="19" spans="3:5">
      <c r="C19" s="7">
        <v>5.2317876946711301</v>
      </c>
      <c r="D19" s="7">
        <v>111.442785717147</v>
      </c>
      <c r="E19" s="3" t="s">
        <v>20</v>
      </c>
    </row>
    <row r="20" spans="3:5">
      <c r="C20" s="7">
        <v>5.5960255908075398</v>
      </c>
      <c r="D20" s="7">
        <v>117.014926015196</v>
      </c>
      <c r="E20" s="3" t="s">
        <v>20</v>
      </c>
    </row>
    <row r="21" spans="3:5">
      <c r="C21" s="7">
        <v>6.0596022432945604</v>
      </c>
      <c r="D21" s="7">
        <v>123.11773308674</v>
      </c>
      <c r="E21" s="3" t="s">
        <v>20</v>
      </c>
    </row>
    <row r="22" spans="3:5">
      <c r="C22" s="7">
        <v>6.4900655559497897</v>
      </c>
      <c r="D22" s="7">
        <v>128.15920155033501</v>
      </c>
      <c r="E22" s="3" t="s">
        <v>20</v>
      </c>
    </row>
    <row r="23" spans="3:5">
      <c r="C23" s="7">
        <v>6.8874167919179898</v>
      </c>
      <c r="D23" s="7">
        <v>133.20065989201501</v>
      </c>
      <c r="E23" s="3" t="s">
        <v>20</v>
      </c>
    </row>
    <row r="24" spans="3:5">
      <c r="C24" s="7">
        <v>7.2847680278861899</v>
      </c>
      <c r="D24" s="7">
        <v>137.97678231646699</v>
      </c>
      <c r="E24" s="3" t="s">
        <v>20</v>
      </c>
    </row>
    <row r="25" spans="3:5">
      <c r="C25" s="7">
        <v>7.7814567570602504</v>
      </c>
      <c r="D25" s="7">
        <v>142.75289967996201</v>
      </c>
      <c r="E25" s="3" t="s">
        <v>20</v>
      </c>
    </row>
    <row r="26" spans="3:5">
      <c r="C26" s="7">
        <v>8.2119200697154806</v>
      </c>
      <c r="D26" s="7">
        <v>147.52902210441499</v>
      </c>
      <c r="E26" s="3" t="s">
        <v>20</v>
      </c>
    </row>
    <row r="27" spans="3:5">
      <c r="C27" s="7">
        <v>8.6754954590577498</v>
      </c>
      <c r="D27" s="7">
        <v>151.509121594313</v>
      </c>
      <c r="E27" s="3" t="s">
        <v>20</v>
      </c>
    </row>
    <row r="28" spans="3:5">
      <c r="C28" s="7">
        <v>8.9900652401636005</v>
      </c>
      <c r="D28" s="7">
        <v>154.427854640992</v>
      </c>
      <c r="E28" s="3" t="s">
        <v>20</v>
      </c>
    </row>
    <row r="29" spans="3:5">
      <c r="C29" s="7">
        <v>9.3377470979564894</v>
      </c>
      <c r="D29" s="7">
        <v>157.611938787773</v>
      </c>
      <c r="E29" s="3" t="s">
        <v>20</v>
      </c>
    </row>
    <row r="30" spans="3:5">
      <c r="E30" s="3"/>
    </row>
    <row r="31" spans="3:5">
      <c r="E31" s="3"/>
    </row>
    <row r="32" spans="3:5">
      <c r="E32" s="3"/>
    </row>
    <row r="33" spans="5:5">
      <c r="E33" s="3"/>
    </row>
    <row r="34" spans="5:5">
      <c r="E34" s="3"/>
    </row>
    <row r="35" spans="5:5">
      <c r="E35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3A8-4287-421F-B1D0-FD11C5C67EE6}">
  <dimension ref="A1:B5"/>
  <sheetViews>
    <sheetView zoomScale="130" zoomScaleNormal="130" workbookViewId="0">
      <selection activeCell="H10" sqref="H10"/>
    </sheetView>
  </sheetViews>
  <sheetFormatPr defaultRowHeight="15.6"/>
  <sheetData>
    <row r="1" spans="1:2">
      <c r="A1" s="3" t="s">
        <v>7</v>
      </c>
      <c r="B1" s="3"/>
    </row>
    <row r="2" spans="1:2">
      <c r="A2" s="3">
        <v>2</v>
      </c>
      <c r="B2" s="3"/>
    </row>
    <row r="3" spans="1:2">
      <c r="A3" s="3"/>
      <c r="B3" s="3"/>
    </row>
    <row r="4" spans="1:2">
      <c r="A4" s="3"/>
      <c r="B4" s="3"/>
    </row>
    <row r="5" spans="1:2">
      <c r="A5" s="3"/>
      <c r="B5" s="3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521-2324-454D-B6F2-618BE3299634}">
  <dimension ref="C1:E35"/>
  <sheetViews>
    <sheetView zoomScale="85" zoomScaleNormal="85" workbookViewId="0">
      <selection activeCell="V15" sqref="V15"/>
    </sheetView>
  </sheetViews>
  <sheetFormatPr defaultRowHeight="15.6"/>
  <sheetData>
    <row r="1" spans="3:5">
      <c r="C1" s="2" t="s">
        <v>8</v>
      </c>
      <c r="D1" s="2" t="s">
        <v>5</v>
      </c>
      <c r="E1" s="3" t="s">
        <v>9</v>
      </c>
    </row>
    <row r="2" spans="3:5">
      <c r="C2" s="7">
        <v>0</v>
      </c>
      <c r="D2" s="7">
        <v>0</v>
      </c>
      <c r="E2" s="3" t="s">
        <v>21</v>
      </c>
    </row>
    <row r="3" spans="3:5">
      <c r="C3" s="7">
        <v>5.0246295421210201</v>
      </c>
      <c r="D3" s="7">
        <v>0.26317393928246602</v>
      </c>
      <c r="E3" s="3" t="s">
        <v>21</v>
      </c>
    </row>
    <row r="4" spans="3:5">
      <c r="C4" s="7">
        <v>5.8784879114799704</v>
      </c>
      <c r="D4" s="7">
        <v>1.31578938700156</v>
      </c>
      <c r="E4" s="3" t="s">
        <v>21</v>
      </c>
    </row>
    <row r="5" spans="3:5">
      <c r="C5" s="7">
        <v>6.7651890110649999</v>
      </c>
      <c r="D5" s="7">
        <v>2.8947527132855901</v>
      </c>
      <c r="E5" s="3" t="s">
        <v>21</v>
      </c>
    </row>
    <row r="6" spans="3:5">
      <c r="C6" s="7">
        <v>7.6847278297790398</v>
      </c>
      <c r="D6" s="7">
        <v>5.2631575480062498</v>
      </c>
      <c r="E6" s="3" t="s">
        <v>21</v>
      </c>
    </row>
    <row r="7" spans="3:5">
      <c r="C7" s="7">
        <v>8.3415423455241609</v>
      </c>
      <c r="D7" s="7">
        <v>8.1579102612918302</v>
      </c>
      <c r="E7" s="3" t="s">
        <v>21</v>
      </c>
    </row>
    <row r="8" spans="3:5">
      <c r="C8" s="7">
        <v>9.0311995914953602</v>
      </c>
      <c r="D8" s="7">
        <v>11.5789506210842</v>
      </c>
      <c r="E8" s="3" t="s">
        <v>21</v>
      </c>
    </row>
    <row r="9" spans="3:5">
      <c r="C9" s="7">
        <v>9.6551713770143994</v>
      </c>
      <c r="D9" s="7">
        <v>15.7894726440187</v>
      </c>
      <c r="E9" s="3" t="s">
        <v>21</v>
      </c>
    </row>
    <row r="10" spans="3:5">
      <c r="C10" s="7">
        <v>10.1806249940493</v>
      </c>
      <c r="D10" s="7">
        <v>20.000014744305801</v>
      </c>
      <c r="E10" s="3" t="s">
        <v>21</v>
      </c>
    </row>
    <row r="11" spans="3:5">
      <c r="C11" s="7">
        <v>10.7389163302132</v>
      </c>
      <c r="D11" s="7">
        <v>24.736854529776199</v>
      </c>
      <c r="E11" s="3" t="s">
        <v>21</v>
      </c>
    </row>
    <row r="12" spans="3:5">
      <c r="C12" s="7">
        <v>11.1330040374409</v>
      </c>
      <c r="D12" s="7">
        <v>29.210530414640399</v>
      </c>
      <c r="E12" s="3" t="s">
        <v>21</v>
      </c>
    </row>
    <row r="13" spans="3:5">
      <c r="C13" s="7">
        <v>11.5599344748946</v>
      </c>
      <c r="D13" s="7">
        <v>33.684216338181002</v>
      </c>
      <c r="E13" s="3" t="s">
        <v>21</v>
      </c>
    </row>
    <row r="14" spans="3:5">
      <c r="C14" s="7">
        <v>11.9211819574447</v>
      </c>
      <c r="D14" s="7">
        <v>38.421056123651297</v>
      </c>
      <c r="E14" s="3" t="s">
        <v>21</v>
      </c>
    </row>
    <row r="15" spans="3:5">
      <c r="C15" s="7">
        <v>12.2824294399948</v>
      </c>
      <c r="D15" s="7">
        <v>43.684213671657602</v>
      </c>
      <c r="E15" s="3" t="s">
        <v>21</v>
      </c>
    </row>
    <row r="16" spans="3:5">
      <c r="C16" s="7">
        <v>12.6108366978674</v>
      </c>
      <c r="D16" s="7">
        <v>48.421063495804297</v>
      </c>
      <c r="E16" s="3" t="s">
        <v>21</v>
      </c>
    </row>
    <row r="17" spans="3:5">
      <c r="C17" s="7">
        <v>12.972086685966</v>
      </c>
      <c r="D17" s="7">
        <v>52.894739380668497</v>
      </c>
      <c r="E17" s="3" t="s">
        <v>21</v>
      </c>
    </row>
    <row r="18" spans="3:5">
      <c r="C18" s="7">
        <v>13.3333341685161</v>
      </c>
      <c r="D18" s="7">
        <v>59.473686315676296</v>
      </c>
      <c r="E18" s="3" t="s">
        <v>21</v>
      </c>
    </row>
    <row r="19" spans="3:5">
      <c r="C19" s="7">
        <v>13.727421875743801</v>
      </c>
      <c r="D19" s="7">
        <v>65.526325526824607</v>
      </c>
      <c r="E19" s="3" t="s">
        <v>21</v>
      </c>
    </row>
    <row r="20" spans="3:5">
      <c r="C20" s="7">
        <v>14.088669358293901</v>
      </c>
      <c r="D20" s="7">
        <v>71.842108561226297</v>
      </c>
      <c r="E20" s="3" t="s">
        <v>21</v>
      </c>
    </row>
    <row r="21" spans="3:5">
      <c r="C21" s="7">
        <v>14.3842363914889</v>
      </c>
      <c r="D21" s="7">
        <v>77.105266109232502</v>
      </c>
      <c r="E21" s="3" t="s">
        <v>21</v>
      </c>
    </row>
    <row r="22" spans="3:5">
      <c r="C22" s="7">
        <v>14.7126436493615</v>
      </c>
      <c r="D22" s="7">
        <v>82.368423657238793</v>
      </c>
      <c r="E22" s="3" t="s">
        <v>21</v>
      </c>
    </row>
    <row r="23" spans="3:5">
      <c r="C23" s="7">
        <v>15.1067338621377</v>
      </c>
      <c r="D23" s="7">
        <v>89.736842216712205</v>
      </c>
      <c r="E23" s="3" t="s">
        <v>21</v>
      </c>
    </row>
    <row r="24" spans="3:5">
      <c r="C24" s="7">
        <v>15.435141120010201</v>
      </c>
      <c r="D24" s="7">
        <v>94.999999764718495</v>
      </c>
      <c r="E24" s="3" t="s">
        <v>21</v>
      </c>
    </row>
    <row r="25" spans="3:5">
      <c r="C25" s="7">
        <v>15.8620690519154</v>
      </c>
      <c r="D25" s="7">
        <v>102.368428362868</v>
      </c>
      <c r="E25" s="3" t="s">
        <v>21</v>
      </c>
    </row>
    <row r="26" spans="3:5">
      <c r="C26" s="7">
        <v>16.190476309788</v>
      </c>
      <c r="D26" s="7">
        <v>109.21052915980501</v>
      </c>
      <c r="E26" s="3" t="s">
        <v>21</v>
      </c>
    </row>
    <row r="27" spans="3:5">
      <c r="C27" s="7">
        <v>16.617406747241699</v>
      </c>
      <c r="D27" s="7">
        <v>114.736835550403</v>
      </c>
      <c r="E27" s="3" t="s">
        <v>21</v>
      </c>
    </row>
    <row r="28" spans="3:5">
      <c r="C28" s="7">
        <v>17.077177409373</v>
      </c>
      <c r="D28" s="7">
        <v>122.105264148553</v>
      </c>
      <c r="E28" s="3" t="s">
        <v>21</v>
      </c>
    </row>
    <row r="29" spans="3:5">
      <c r="C29" s="7">
        <v>17.471265116600701</v>
      </c>
      <c r="D29" s="7">
        <v>127.894729420419</v>
      </c>
      <c r="E29" s="3" t="s">
        <v>21</v>
      </c>
    </row>
    <row r="30" spans="3:5">
      <c r="C30" s="7">
        <v>17.865352823828299</v>
      </c>
      <c r="D30" s="7">
        <v>133.684209750299</v>
      </c>
      <c r="E30" s="3" t="s">
        <v>21</v>
      </c>
    </row>
    <row r="31" spans="3:5">
      <c r="C31" s="7">
        <v>18.292283261282101</v>
      </c>
      <c r="D31" s="7">
        <v>138.68421343637601</v>
      </c>
      <c r="E31" s="3" t="s">
        <v>21</v>
      </c>
    </row>
    <row r="32" spans="3:5">
      <c r="C32" s="7">
        <v>18.784894148090899</v>
      </c>
      <c r="D32" s="7">
        <v>144.21052986564999</v>
      </c>
      <c r="E32" s="3" t="s">
        <v>21</v>
      </c>
    </row>
    <row r="33" spans="3:5">
      <c r="C33" s="7">
        <v>19.244664810222201</v>
      </c>
      <c r="D33" s="7">
        <v>148.94736965112</v>
      </c>
      <c r="E33" s="3" t="s">
        <v>21</v>
      </c>
    </row>
    <row r="34" spans="3:5">
      <c r="C34" s="7">
        <v>19.671592742127402</v>
      </c>
      <c r="D34" s="7">
        <v>152.89473781212499</v>
      </c>
      <c r="E34" s="3" t="s">
        <v>21</v>
      </c>
    </row>
    <row r="35" spans="3:5">
      <c r="C35" s="7">
        <v>19.967159775322401</v>
      </c>
      <c r="D35" s="7">
        <v>155.52631658612799</v>
      </c>
      <c r="E35" s="3" t="s">
        <v>21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861-054E-4F2A-BB56-EFC5222BB14F}">
  <dimension ref="A1:B4"/>
  <sheetViews>
    <sheetView zoomScale="85" zoomScaleNormal="85" workbookViewId="0">
      <selection activeCell="C2" sqref="C2"/>
    </sheetView>
  </sheetViews>
  <sheetFormatPr defaultRowHeight="15.6"/>
  <sheetData>
    <row r="1" spans="1:2">
      <c r="A1" s="3" t="s">
        <v>10</v>
      </c>
      <c r="B1" s="3"/>
    </row>
    <row r="2" spans="1:2">
      <c r="A2" s="3">
        <v>2.77</v>
      </c>
      <c r="B2" s="3"/>
    </row>
    <row r="3" spans="1:2">
      <c r="A3" s="3"/>
      <c r="B3" s="3"/>
    </row>
    <row r="4" spans="1:2">
      <c r="A4" s="3"/>
      <c r="B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B614-8864-4923-A89E-50D43D25E344}">
  <dimension ref="A1:C36"/>
  <sheetViews>
    <sheetView zoomScale="85" zoomScaleNormal="85" workbookViewId="0">
      <selection activeCell="B5" sqref="B5"/>
    </sheetView>
  </sheetViews>
  <sheetFormatPr defaultRowHeight="15.6"/>
  <sheetData>
    <row r="1" spans="1:3">
      <c r="A1" s="3" t="s">
        <v>11</v>
      </c>
      <c r="B1" s="3" t="s">
        <v>12</v>
      </c>
      <c r="C1" s="3" t="s">
        <v>13</v>
      </c>
    </row>
    <row r="2" spans="1:3">
      <c r="A2" s="7">
        <v>0</v>
      </c>
      <c r="B2" s="7">
        <v>0</v>
      </c>
      <c r="C2" s="3">
        <v>25</v>
      </c>
    </row>
    <row r="3" spans="1:3">
      <c r="A3" s="7">
        <v>0.74354610327679205</v>
      </c>
      <c r="B3" s="8">
        <v>1.0000000000000001E-9</v>
      </c>
      <c r="C3" s="3">
        <v>25</v>
      </c>
    </row>
    <row r="4" spans="1:3">
      <c r="A4" s="7">
        <v>1.28055096573561</v>
      </c>
      <c r="B4" s="8">
        <v>2.0000000000000001E-9</v>
      </c>
      <c r="C4" s="3">
        <v>25</v>
      </c>
    </row>
    <row r="5" spans="1:3">
      <c r="A5" s="7">
        <v>1.6523236234293499</v>
      </c>
      <c r="B5" s="7">
        <v>0.69084631401073904</v>
      </c>
      <c r="C5" s="3">
        <v>25</v>
      </c>
    </row>
    <row r="6" spans="1:3">
      <c r="A6" s="7">
        <v>1.98278882084881</v>
      </c>
      <c r="B6" s="7">
        <v>2.3488732510452301</v>
      </c>
      <c r="C6" s="3">
        <v>25</v>
      </c>
    </row>
    <row r="7" spans="1:3">
      <c r="A7" s="7">
        <v>2.2719449822153601</v>
      </c>
      <c r="B7" s="7">
        <v>4.5595793475839601</v>
      </c>
      <c r="C7" s="3">
        <v>25</v>
      </c>
    </row>
    <row r="8" spans="1:3">
      <c r="A8" s="7">
        <v>2.4784854351440302</v>
      </c>
      <c r="B8" s="7">
        <v>7.5993094541181003</v>
      </c>
      <c r="C8" s="3">
        <v>25</v>
      </c>
    </row>
    <row r="9" spans="1:3">
      <c r="A9" s="7">
        <v>2.7056804060991499</v>
      </c>
      <c r="B9" s="7">
        <v>11.6062043714587</v>
      </c>
      <c r="C9" s="3">
        <v>25</v>
      </c>
    </row>
    <row r="10" spans="1:3">
      <c r="A10" s="7">
        <v>2.91222085902782</v>
      </c>
      <c r="B10" s="7">
        <v>14.5077673234864</v>
      </c>
      <c r="C10" s="3">
        <v>25</v>
      </c>
    </row>
    <row r="11" spans="1:3">
      <c r="A11" s="7">
        <v>3.1290881770250598</v>
      </c>
      <c r="B11" s="7">
        <v>16.994818270516301</v>
      </c>
      <c r="C11" s="3">
        <v>25</v>
      </c>
    </row>
    <row r="12" spans="1:3">
      <c r="A12" s="7">
        <v>3.2943203817901399</v>
      </c>
      <c r="B12" s="7">
        <v>19.6200311013136</v>
      </c>
      <c r="C12" s="3">
        <v>25</v>
      </c>
    </row>
    <row r="13" spans="1:3">
      <c r="A13" s="7">
        <v>3.4905339696502402</v>
      </c>
      <c r="B13" s="7">
        <v>22.7979230916152</v>
      </c>
      <c r="C13" s="3">
        <v>25</v>
      </c>
    </row>
    <row r="14" spans="1:3">
      <c r="A14" s="7">
        <v>3.5938041961145699</v>
      </c>
      <c r="B14" s="7">
        <v>25.699480772903801</v>
      </c>
      <c r="C14" s="3">
        <v>25</v>
      </c>
    </row>
    <row r="15" spans="1:3">
      <c r="A15" s="7">
        <v>3.7796901310167899</v>
      </c>
      <c r="B15" s="7">
        <v>29.291879497463999</v>
      </c>
      <c r="C15" s="3">
        <v>25</v>
      </c>
    </row>
    <row r="16" spans="1:3">
      <c r="A16" s="7">
        <v>3.8829603574811302</v>
      </c>
      <c r="B16" s="7">
        <v>32.055264753506897</v>
      </c>
      <c r="C16" s="3">
        <v>25</v>
      </c>
    </row>
    <row r="17" spans="1:3">
      <c r="A17" s="7">
        <v>4.05852021520408</v>
      </c>
      <c r="B17" s="7">
        <v>36.753021797075597</v>
      </c>
      <c r="C17" s="3">
        <v>25</v>
      </c>
    </row>
    <row r="18" spans="1:3">
      <c r="A18" s="7">
        <v>4.20309868983201</v>
      </c>
      <c r="B18" s="7">
        <v>40.759927255894397</v>
      </c>
      <c r="C18" s="3">
        <v>25</v>
      </c>
    </row>
    <row r="19" spans="1:3">
      <c r="A19" s="7">
        <v>4.2960412633384699</v>
      </c>
      <c r="B19" s="7">
        <v>44.905005139958803</v>
      </c>
      <c r="C19" s="3">
        <v>25</v>
      </c>
    </row>
    <row r="20" spans="1:3">
      <c r="A20" s="7">
        <v>4.40963914276068</v>
      </c>
      <c r="B20" s="7">
        <v>49.188255449268901</v>
      </c>
      <c r="C20" s="3">
        <v>25</v>
      </c>
    </row>
    <row r="21" spans="1:3">
      <c r="A21" s="7">
        <v>4.5129093692250102</v>
      </c>
      <c r="B21" s="7">
        <v>52.780654173829099</v>
      </c>
      <c r="C21" s="3">
        <v>25</v>
      </c>
    </row>
    <row r="22" spans="1:3">
      <c r="A22" s="7">
        <v>4.5955250776629004</v>
      </c>
      <c r="B22" s="7">
        <v>56.649389842771797</v>
      </c>
      <c r="C22" s="3">
        <v>25</v>
      </c>
    </row>
    <row r="23" spans="1:3">
      <c r="A23" s="7">
        <v>4.6987953041272403</v>
      </c>
      <c r="B23" s="7">
        <v>61.899826045844698</v>
      </c>
      <c r="C23" s="3">
        <v>25</v>
      </c>
    </row>
    <row r="24" spans="1:3">
      <c r="A24" s="7">
        <v>4.7917386655229999</v>
      </c>
      <c r="B24" s="7">
        <v>66.183073719785199</v>
      </c>
      <c r="C24" s="3">
        <v>25</v>
      </c>
    </row>
    <row r="25" spans="1:3">
      <c r="A25" s="7">
        <v>4.8743551618501897</v>
      </c>
      <c r="B25" s="7">
        <v>70.189981813973603</v>
      </c>
      <c r="C25" s="3">
        <v>25</v>
      </c>
    </row>
    <row r="26" spans="1:3">
      <c r="A26" s="7">
        <v>4.9363171401509298</v>
      </c>
      <c r="B26" s="7">
        <v>73.229706649768602</v>
      </c>
      <c r="C26" s="3">
        <v>25</v>
      </c>
    </row>
    <row r="27" spans="1:3">
      <c r="A27" s="7">
        <v>5.0499142316838297</v>
      </c>
      <c r="B27" s="7">
        <v>79.309155003673993</v>
      </c>
      <c r="C27" s="3">
        <v>25</v>
      </c>
    </row>
    <row r="28" spans="1:3">
      <c r="A28" s="6"/>
      <c r="B28" s="6"/>
      <c r="C28" s="3"/>
    </row>
    <row r="29" spans="1:3">
      <c r="A29" s="6"/>
      <c r="B29" s="6"/>
      <c r="C29" s="3"/>
    </row>
    <row r="30" spans="1:3">
      <c r="A30" s="6"/>
      <c r="B30" s="6"/>
      <c r="C30" s="3"/>
    </row>
    <row r="31" spans="1:3">
      <c r="C31" s="3"/>
    </row>
    <row r="32" spans="1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9A34-A96F-47D2-9587-82DA3E239B23}">
  <dimension ref="A1:B40"/>
  <sheetViews>
    <sheetView zoomScale="85" zoomScaleNormal="85" workbookViewId="0">
      <selection activeCell="F35" sqref="F35"/>
    </sheetView>
  </sheetViews>
  <sheetFormatPr defaultRowHeight="15.6"/>
  <sheetData>
    <row r="1" spans="1:2" ht="15.9" thickBot="1">
      <c r="A1" s="4" t="s">
        <v>14</v>
      </c>
      <c r="B1" s="5" t="s">
        <v>15</v>
      </c>
    </row>
    <row r="2" spans="1:2">
      <c r="A2" s="7">
        <v>0.1</v>
      </c>
      <c r="B2" s="7">
        <v>2782.5591782583001</v>
      </c>
    </row>
    <row r="3" spans="1:2">
      <c r="A3" s="7">
        <v>0.219214698916848</v>
      </c>
      <c r="B3" s="7">
        <v>2782.5591782583001</v>
      </c>
    </row>
    <row r="4" spans="1:2">
      <c r="A4" s="7">
        <v>0.36599753019501002</v>
      </c>
      <c r="B4" s="7">
        <v>2738.4192492958</v>
      </c>
    </row>
    <row r="5" spans="1:2">
      <c r="A5" s="7">
        <v>0.641145230066133</v>
      </c>
      <c r="B5" s="7">
        <v>2694.9795150835198</v>
      </c>
    </row>
    <row r="6" spans="1:2">
      <c r="A6" s="7">
        <v>1.07044764164689</v>
      </c>
      <c r="B6" s="7">
        <v>2568.7520701886501</v>
      </c>
    </row>
    <row r="7" spans="1:2">
      <c r="A7" s="7">
        <v>1.7872031163131299</v>
      </c>
      <c r="B7" s="7">
        <v>2260.3031474219401</v>
      </c>
    </row>
    <row r="8" spans="1:2">
      <c r="A8" s="7">
        <v>2.50184709475222</v>
      </c>
      <c r="B8" s="7">
        <v>2189.1612325002902</v>
      </c>
    </row>
    <row r="9" spans="1:2">
      <c r="A9" s="7">
        <v>3.98107170553497</v>
      </c>
      <c r="B9" s="7">
        <v>2189.1612325002902</v>
      </c>
    </row>
    <row r="10" spans="1:2">
      <c r="A10" s="7">
        <v>6.3348923113067999</v>
      </c>
      <c r="B10" s="7">
        <v>2120.2584738902601</v>
      </c>
    </row>
    <row r="11" spans="1:2">
      <c r="A11" s="7">
        <v>10.747417883243999</v>
      </c>
      <c r="B11" s="7">
        <v>2120.2584738902601</v>
      </c>
    </row>
    <row r="12" spans="1:2">
      <c r="A12" s="7">
        <v>15.785587992003499</v>
      </c>
      <c r="B12" s="7">
        <v>1988.8913450857599</v>
      </c>
    </row>
    <row r="13" spans="1:2">
      <c r="A13" s="7">
        <v>23.185549399896502</v>
      </c>
      <c r="B13" s="7">
        <v>2020.94981192161</v>
      </c>
    </row>
    <row r="14" spans="1:2">
      <c r="A14" s="7">
        <v>32.456691059284097</v>
      </c>
      <c r="B14" s="7">
        <v>2020.94981192161</v>
      </c>
    </row>
    <row r="15" spans="1:2">
      <c r="A15" s="7">
        <v>47.671725265692999</v>
      </c>
      <c r="B15" s="7">
        <v>1957.3414239296601</v>
      </c>
    </row>
    <row r="16" spans="1:2">
      <c r="A16" s="7">
        <v>78.327260498913105</v>
      </c>
      <c r="B16" s="7">
        <v>2020.94981192161</v>
      </c>
    </row>
    <row r="17" spans="1:2">
      <c r="A17" s="7">
        <v>124.638488578444</v>
      </c>
      <c r="B17" s="7">
        <v>1988.8913450857599</v>
      </c>
    </row>
    <row r="18" spans="1:2">
      <c r="A18" s="7">
        <v>195.17985674312001</v>
      </c>
      <c r="B18" s="7">
        <v>1988.8913450857599</v>
      </c>
    </row>
    <row r="19" spans="1:2">
      <c r="A19" s="7">
        <v>341.911143742327</v>
      </c>
      <c r="B19" s="7">
        <v>1988.8913450857599</v>
      </c>
    </row>
    <row r="20" spans="1:2">
      <c r="A20" s="7">
        <v>526.91326305265102</v>
      </c>
      <c r="B20" s="7">
        <v>1988.8913450857599</v>
      </c>
    </row>
    <row r="21" spans="1:2">
      <c r="A21" s="7">
        <v>937.93729917677797</v>
      </c>
      <c r="B21" s="7">
        <v>1988.8913450857599</v>
      </c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  <row r="35" spans="1:2">
      <c r="A35" s="6"/>
      <c r="B35" s="6"/>
    </row>
    <row r="36" spans="1:2">
      <c r="A36" s="6"/>
      <c r="B36" s="6"/>
    </row>
    <row r="37" spans="1:2">
      <c r="A37" s="6"/>
      <c r="B37" s="6"/>
    </row>
    <row r="38" spans="1:2">
      <c r="A38" s="6"/>
      <c r="B38" s="6"/>
    </row>
    <row r="39" spans="1:2">
      <c r="A39" s="6"/>
      <c r="B39" s="6"/>
    </row>
    <row r="40" spans="1:2">
      <c r="A40" s="6"/>
      <c r="B40" s="6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4037-7AF4-4085-978E-00C1878B509E}">
  <dimension ref="A1:B33"/>
  <sheetViews>
    <sheetView zoomScale="85" zoomScaleNormal="85" workbookViewId="0">
      <selection activeCell="A2" sqref="A2:B24"/>
    </sheetView>
  </sheetViews>
  <sheetFormatPr defaultRowHeight="15.6"/>
  <sheetData>
    <row r="1" spans="1:2" ht="15.9" thickBot="1">
      <c r="A1" s="4" t="s">
        <v>14</v>
      </c>
      <c r="B1" s="5" t="s">
        <v>16</v>
      </c>
    </row>
    <row r="2" spans="1:2">
      <c r="A2" s="7">
        <v>0.1</v>
      </c>
      <c r="B2" s="7">
        <v>3162.2779620000001</v>
      </c>
    </row>
    <row r="3" spans="1:2">
      <c r="A3" s="8">
        <v>0.23371999299999999</v>
      </c>
      <c r="B3" s="7">
        <v>3062.7468389999999</v>
      </c>
    </row>
    <row r="4" spans="1:2">
      <c r="A4" s="7">
        <v>0.422753251</v>
      </c>
      <c r="B4" s="7">
        <v>2872.9849469999999</v>
      </c>
    </row>
    <row r="5" spans="1:2">
      <c r="A5" s="7">
        <v>0.764677037</v>
      </c>
      <c r="B5" s="7">
        <v>2610.1555819999999</v>
      </c>
    </row>
    <row r="6" spans="1:2">
      <c r="A6" s="7">
        <v>1.141277071</v>
      </c>
      <c r="B6" s="7">
        <v>2333.7562739999998</v>
      </c>
    </row>
    <row r="7" spans="1:2">
      <c r="A7" s="7">
        <v>1.4281785380000001</v>
      </c>
      <c r="B7" s="7">
        <v>1988.891345</v>
      </c>
    </row>
    <row r="8" spans="1:2">
      <c r="A8" s="7">
        <v>2.0976794829999998</v>
      </c>
      <c r="B8" s="7">
        <v>1778.2795289999999</v>
      </c>
    </row>
    <row r="9" spans="1:2">
      <c r="A9" s="7">
        <v>3.3379387789999999</v>
      </c>
      <c r="B9" s="7">
        <v>1589.9697719999999</v>
      </c>
    </row>
    <row r="10" spans="1:2">
      <c r="A10" s="7">
        <v>4.9026963390000002</v>
      </c>
      <c r="B10" s="7">
        <v>1467.7992019999999</v>
      </c>
    </row>
    <row r="11" spans="1:2">
      <c r="A11" s="7">
        <v>6.8631239949999996</v>
      </c>
      <c r="B11" s="7">
        <v>1291.5497740000001</v>
      </c>
    </row>
    <row r="12" spans="1:2">
      <c r="A12" s="7">
        <v>8.727094353</v>
      </c>
      <c r="B12" s="7">
        <v>1154.7819489999999</v>
      </c>
    </row>
    <row r="13" spans="1:2">
      <c r="A13" s="7">
        <v>10.24318199</v>
      </c>
      <c r="B13" s="7">
        <v>1016.118801</v>
      </c>
    </row>
    <row r="14" spans="1:2">
      <c r="A14" s="7">
        <v>15.78558799</v>
      </c>
      <c r="B14" s="7">
        <v>879.92269080000005</v>
      </c>
    </row>
    <row r="15" spans="1:2">
      <c r="A15" s="7">
        <v>17.943747510000001</v>
      </c>
      <c r="B15" s="7">
        <v>618.96548159999998</v>
      </c>
    </row>
    <row r="16" spans="1:2">
      <c r="A16" s="7">
        <v>25.52445135</v>
      </c>
      <c r="B16" s="7">
        <v>494.81687790000001</v>
      </c>
    </row>
    <row r="17" spans="1:2">
      <c r="A17" s="7">
        <v>39.335332080000001</v>
      </c>
      <c r="B17" s="7">
        <v>408.42387650000001</v>
      </c>
    </row>
    <row r="18" spans="1:2">
      <c r="A18" s="7">
        <v>56.856811700000002</v>
      </c>
      <c r="B18" s="7">
        <v>337.11473960000001</v>
      </c>
    </row>
    <row r="19" spans="1:2">
      <c r="A19" s="7">
        <v>87.621141750000007</v>
      </c>
      <c r="B19" s="7">
        <v>282.74111269999997</v>
      </c>
    </row>
    <row r="20" spans="1:2">
      <c r="A20" s="7">
        <v>153.49250319999999</v>
      </c>
      <c r="B20" s="7">
        <v>218.91609819999999</v>
      </c>
    </row>
    <row r="21" spans="1:2">
      <c r="A21" s="7">
        <v>252.19660540000001</v>
      </c>
      <c r="B21" s="7">
        <v>177.8279325</v>
      </c>
    </row>
    <row r="22" spans="1:2">
      <c r="A22" s="7">
        <v>364.5347362</v>
      </c>
      <c r="B22" s="7">
        <v>149.14585930000001</v>
      </c>
    </row>
    <row r="23" spans="1:2">
      <c r="A23" s="7">
        <v>680.83734909999998</v>
      </c>
      <c r="B23" s="7">
        <v>111.8436317</v>
      </c>
    </row>
    <row r="24" spans="1:2">
      <c r="A24" s="7">
        <v>953.08190119999995</v>
      </c>
      <c r="B24" s="7">
        <v>110.0694149</v>
      </c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66E-02DD-45C1-96A6-F683051AA92D}">
  <dimension ref="A1:B29"/>
  <sheetViews>
    <sheetView topLeftCell="A4" zoomScaleNormal="100" workbookViewId="0">
      <selection activeCell="K37" sqref="K37"/>
    </sheetView>
  </sheetViews>
  <sheetFormatPr defaultRowHeight="15.6"/>
  <sheetData>
    <row r="1" spans="1:2" ht="15.9" thickBot="1">
      <c r="A1" s="4" t="s">
        <v>14</v>
      </c>
      <c r="B1" s="5" t="s">
        <v>17</v>
      </c>
    </row>
    <row r="2" spans="1:2">
      <c r="A2" s="3" t="s">
        <v>18</v>
      </c>
      <c r="B2" s="3" t="s">
        <v>19</v>
      </c>
    </row>
    <row r="3" spans="1:2">
      <c r="A3" s="7">
        <v>0.1</v>
      </c>
      <c r="B3" s="7">
        <v>1066.05047076144</v>
      </c>
    </row>
    <row r="4" spans="1:2">
      <c r="A4" s="7">
        <v>0.27432228009338699</v>
      </c>
      <c r="B4" s="7">
        <v>984.13696825960005</v>
      </c>
    </row>
    <row r="5" spans="1:2">
      <c r="A5" s="7">
        <v>0.49619476030029003</v>
      </c>
      <c r="B5" s="7">
        <v>879.92269079775804</v>
      </c>
    </row>
    <row r="6" spans="1:2">
      <c r="A6" s="7">
        <v>0.77702500517040696</v>
      </c>
      <c r="B6" s="7">
        <v>749.89434155485799</v>
      </c>
    </row>
    <row r="7" spans="1:2">
      <c r="A7" s="7">
        <v>1.0366975394609499</v>
      </c>
      <c r="B7" s="7">
        <v>628.94282276061699</v>
      </c>
    </row>
    <row r="8" spans="1:2">
      <c r="A8" s="7">
        <v>1.2167946321026</v>
      </c>
      <c r="B8" s="7">
        <v>544.64208357824702</v>
      </c>
    </row>
    <row r="9" spans="1:2">
      <c r="A9" s="7">
        <v>1.4281785384419401</v>
      </c>
      <c r="B9" s="7">
        <v>408.423876512861</v>
      </c>
    </row>
    <row r="10" spans="1:2">
      <c r="A10" s="7">
        <v>1.7308565737947501</v>
      </c>
      <c r="B10" s="7">
        <v>316.22785643477403</v>
      </c>
    </row>
    <row r="11" spans="1:2">
      <c r="A11" s="7">
        <v>2.4620924014946199</v>
      </c>
      <c r="B11" s="7">
        <v>248.790311218824</v>
      </c>
    </row>
    <row r="12" spans="1:2">
      <c r="A12" s="7">
        <v>3.6746619407366898</v>
      </c>
      <c r="B12" s="7">
        <v>212.02595247035001</v>
      </c>
    </row>
    <row r="13" spans="1:2">
      <c r="A13" s="7">
        <v>5.7544021862956196</v>
      </c>
      <c r="B13" s="7">
        <v>183.60686715483601</v>
      </c>
    </row>
    <row r="14" spans="1:2">
      <c r="A14" s="7">
        <v>7.8014207434266201</v>
      </c>
      <c r="B14" s="7">
        <v>151.54985974216399</v>
      </c>
    </row>
    <row r="15" spans="1:2">
      <c r="A15" s="7">
        <v>9.4547985530084997</v>
      </c>
      <c r="B15" s="7">
        <v>121.152807046923</v>
      </c>
    </row>
    <row r="16" spans="1:2">
      <c r="A16" s="7">
        <v>10.080416421552799</v>
      </c>
      <c r="B16" s="7">
        <v>82.540428229230002</v>
      </c>
    </row>
    <row r="17" spans="1:2">
      <c r="A17" s="7">
        <v>13.2354627604439</v>
      </c>
      <c r="B17" s="7">
        <v>69.227386951140403</v>
      </c>
    </row>
    <row r="18" spans="1:2">
      <c r="A18" s="7">
        <v>16.830110078635801</v>
      </c>
      <c r="B18" s="7">
        <v>57.140568570969997</v>
      </c>
    </row>
    <row r="19" spans="1:2">
      <c r="A19" s="7">
        <v>17.377999792602999</v>
      </c>
      <c r="B19" s="7">
        <v>41.500724300454202</v>
      </c>
    </row>
    <row r="20" spans="1:2">
      <c r="A20" s="7">
        <v>17.9437475121284</v>
      </c>
      <c r="B20" s="7">
        <v>23.713744402037701</v>
      </c>
    </row>
    <row r="21" spans="1:2">
      <c r="A21" s="7">
        <v>18.233480008684399</v>
      </c>
      <c r="B21" s="7">
        <v>16.4164018426941</v>
      </c>
    </row>
    <row r="22" spans="1:2">
      <c r="A22" s="7">
        <v>23.559919754088899</v>
      </c>
      <c r="B22" s="7">
        <v>11.9230974405327</v>
      </c>
    </row>
    <row r="23" spans="1:2">
      <c r="A23" s="7">
        <v>34.054461654983001</v>
      </c>
      <c r="B23" s="7">
        <v>9.2316180875849092</v>
      </c>
    </row>
    <row r="24" spans="1:2">
      <c r="A24" s="7">
        <v>59.655745876014002</v>
      </c>
      <c r="B24" s="7">
        <v>7.1477084645161399</v>
      </c>
    </row>
    <row r="25" spans="1:2">
      <c r="A25" s="7">
        <v>113.217392802756</v>
      </c>
      <c r="B25" s="7">
        <v>5.3600259282812202</v>
      </c>
    </row>
    <row r="26" spans="1:2">
      <c r="A26" s="7">
        <v>183.066467687352</v>
      </c>
      <c r="B26" s="7">
        <v>4.4954983954834802</v>
      </c>
    </row>
    <row r="27" spans="1:2">
      <c r="A27" s="7">
        <v>320.69121472012</v>
      </c>
      <c r="B27" s="7">
        <v>3.65173788782886</v>
      </c>
    </row>
    <row r="28" spans="1:2">
      <c r="A28" s="7">
        <v>703.00228080149702</v>
      </c>
      <c r="B28" s="7">
        <v>2.6949818781544699</v>
      </c>
    </row>
    <row r="29" spans="1:2">
      <c r="A29" s="7">
        <v>953.08190122379904</v>
      </c>
      <c r="B29" s="7">
        <v>3.0141630780965598</v>
      </c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D3F2-1ED9-4F75-8580-6B68CD5D7493}">
  <dimension ref="A1:A2"/>
  <sheetViews>
    <sheetView workbookViewId="0">
      <selection activeCell="B2" sqref="B2"/>
    </sheetView>
  </sheetViews>
  <sheetFormatPr defaultRowHeight="15.6"/>
  <sheetData>
    <row r="1" spans="1:1">
      <c r="A1" t="s">
        <v>26</v>
      </c>
    </row>
    <row r="2" spans="1:1">
      <c r="A2">
        <v>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C8B7-D7C1-43D5-BFC8-96638004D853}">
  <dimension ref="A1:A2"/>
  <sheetViews>
    <sheetView workbookViewId="0">
      <selection activeCell="B2" sqref="B2"/>
    </sheetView>
  </sheetViews>
  <sheetFormatPr defaultRowHeight="15.6"/>
  <sheetData>
    <row r="1" spans="1:1">
      <c r="A1" t="s">
        <v>27</v>
      </c>
    </row>
    <row r="2" spans="1:1">
      <c r="A2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5A9B-C6C3-47EC-BB24-955BC0D5E0D7}">
  <dimension ref="A1:A2"/>
  <sheetViews>
    <sheetView tabSelected="1" workbookViewId="0">
      <selection activeCell="L25" sqref="L25"/>
    </sheetView>
  </sheetViews>
  <sheetFormatPr defaultRowHeight="15.6"/>
  <sheetData>
    <row r="1" spans="1:1">
      <c r="A1" t="s">
        <v>28</v>
      </c>
    </row>
    <row r="2" spans="1:1">
      <c r="A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兆威 蔡</dc:creator>
  <cp:keywords/>
  <dc:description/>
  <cp:lastModifiedBy>Tung Nguyen</cp:lastModifiedBy>
  <cp:revision/>
  <dcterms:created xsi:type="dcterms:W3CDTF">2025-07-17T11:07:41Z</dcterms:created>
  <dcterms:modified xsi:type="dcterms:W3CDTF">2026-02-10T02:53:01Z</dcterms:modified>
  <cp:category/>
  <cp:contentStatus/>
</cp:coreProperties>
</file>