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STPSC30H12C\"/>
    </mc:Choice>
  </mc:AlternateContent>
  <xr:revisionPtr revIDLastSave="0" documentId="13_ncr:1_{E3B88F99-87DD-417E-9128-121A1CB36D0A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VF" sheetId="1" r:id="rId1"/>
    <sheet name="Rd" sheetId="2" r:id="rId2"/>
    <sheet name="IF" sheetId="3" r:id="rId3"/>
    <sheet name="Qc" sheetId="4" r:id="rId4"/>
    <sheet name="IF_V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</calcChain>
</file>

<file path=xl/sharedStrings.xml><?xml version="1.0" encoding="utf-8"?>
<sst xmlns="http://schemas.openxmlformats.org/spreadsheetml/2006/main" count="10" uniqueCount="8">
  <si>
    <t>IF</t>
  </si>
  <si>
    <t>QC</t>
  </si>
  <si>
    <t>nC</t>
  </si>
  <si>
    <t>A</t>
  </si>
  <si>
    <t>VF</t>
  </si>
  <si>
    <t>V</t>
  </si>
  <si>
    <t>Rd</t>
  </si>
  <si>
    <t>mohm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</si>
</sst>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IF_VF!$B$1</c:f>
              <c:strCache>
                <c:ptCount val="1"/>
                <c:pt idx="0">
                  <c:v>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IF_VF!$A$2:$A$13</c:f>
              <c:numCache>
                <c:formatCode>General</c:formatCode>
                <c:ptCount val="12"/>
                <c:pt idx="0">
                  <c:v>0</c:v>
                </c:pt>
                <c:pt idx="1">
                  <c:v>0.49999994716486101</c:v>
                </c:pt>
                <c:pt idx="2">
                  <c:v>0.811634276437039</c:v>
                </c:pt>
                <c:pt idx="3">
                  <c:v>0.88088634960863399</c:v>
                </c:pt>
                <c:pt idx="4">
                  <c:v>1.24376717075968</c:v>
                </c:pt>
                <c:pt idx="5">
                  <c:v>1.4999998414945801</c:v>
                </c:pt>
                <c:pt idx="6">
                  <c:v>1.74930730491232</c:v>
                </c:pt>
                <c:pt idx="7">
                  <c:v>1.9986147683300599</c:v>
                </c:pt>
                <c:pt idx="8">
                  <c:v>2.2479222317478098</c:v>
                </c:pt>
                <c:pt idx="9">
                  <c:v>2.3324098455533702</c:v>
                </c:pt>
              </c:numCache>
            </c:numRef>
          </c:xVal>
          <c:yVal>
            <c:numRef>
              <c:f>IF_VF!$B$2:$B$13</c:f>
              <c:numCache>
                <c:formatCode>0.00E+00</c:formatCode>
                <c:ptCount val="12"/>
                <c:pt idx="0" formatCode="General">
                  <c:v>0</c:v>
                </c:pt>
                <c:pt idx="1">
                  <c:v>1.0000000000000001E-9</c:v>
                </c:pt>
                <c:pt idx="2">
                  <c:v>9.9999999999999995E-7</c:v>
                </c:pt>
                <c:pt idx="3" formatCode="General">
                  <c:v>0.67499930143349796</c:v>
                </c:pt>
                <c:pt idx="4" formatCode="General">
                  <c:v>8.0249984765051394</c:v>
                </c:pt>
                <c:pt idx="5" formatCode="General">
                  <c:v>13.199996299743299</c:v>
                </c:pt>
                <c:pt idx="6" formatCode="General">
                  <c:v>18.300000982284601</c:v>
                </c:pt>
                <c:pt idx="7" formatCode="General">
                  <c:v>23.375000321865102</c:v>
                </c:pt>
                <c:pt idx="8" formatCode="General">
                  <c:v>28.325001556873399</c:v>
                </c:pt>
                <c:pt idx="9" formatCode="General">
                  <c:v>30.075001723766398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7-41DE-8F1D-F6EC4BF6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053440"/>
        <c:axId val="972053920"/>
      </c:scatterChart>
      <c:valAx>
        <c:axId val="97205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920"/>
        <c:crosses val="autoZero"/>
        <c:crossBetween val="midCat"/>
      </c:valAx>
      <c:valAx>
        <c:axId val="9720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18</xdr:col>
      <xdr:colOff>541657</xdr:colOff>
      <xdr:row>23</xdr:row>
      <xdr:rowOff>94895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3E5E3-8216-11A4-F0E3-60E2DCF49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" y="1463040"/>
          <a:ext cx="10142857" cy="28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578880</xdr:colOff>
      <xdr:row>21</xdr:row>
      <xdr:rowOff>72360</xdr:rowOff>
    </xdr:from>
    <xdr:to>
      <xdr:col>9</xdr:col>
      <xdr:colOff>586800</xdr:colOff>
      <xdr:row>21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14:cNvPr>
            <xdr14:cNvContentPartPr/>
          </xdr14:nvContentPartPr>
          <xdr14:nvPr macro=""/>
          <xdr14:xfrm>
            <a:off x="6339600" y="3912840"/>
            <a:ext cx="792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21960" y="3895200"/>
              <a:ext cx="435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532800</xdr:colOff>
      <xdr:row>14</xdr:row>
      <xdr:rowOff>114120</xdr:rowOff>
    </xdr:from>
    <xdr:to>
      <xdr:col>10</xdr:col>
      <xdr:colOff>533880</xdr:colOff>
      <xdr:row>14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14:cNvPr>
            <xdr14:cNvContentPartPr/>
          </xdr14:nvContentPartPr>
          <xdr14:nvPr macro=""/>
          <xdr14:xfrm>
            <a:off x="6933600" y="2674440"/>
            <a:ext cx="108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2656440"/>
              <a:ext cx="36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445770</xdr:colOff>
      <xdr:row>10</xdr:row>
      <xdr:rowOff>0</xdr:rowOff>
    </xdr:from>
    <xdr:to>
      <xdr:col>11</xdr:col>
      <xdr:colOff>544830</xdr:colOff>
      <xdr:row>29</xdr:row>
      <xdr:rowOff>133350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C80656E-A048-041C-D875-D332FDBB118A}"/>
            </a:ext>
          </a:extLst>
        </xdr:cNvPr>
        <xdr:cNvCxnSpPr/>
      </xdr:nvCxnSpPr>
      <xdr:spPr>
        <a:xfrm flipH="1">
          <a:off x="5566410" y="1828800"/>
          <a:ext cx="2019300" cy="36080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590400</xdr:colOff>
      <xdr:row>22</xdr:row>
      <xdr:rowOff>18720</xdr:rowOff>
    </xdr:from>
    <xdr:to>
      <xdr:col>9</xdr:col>
      <xdr:colOff>590760</xdr:colOff>
      <xdr:row>22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14:cNvPr>
            <xdr14:cNvContentPartPr/>
          </xdr14:nvContentPartPr>
          <xdr14:nvPr macro=""/>
          <xdr14:xfrm>
            <a:off x="6351120" y="404208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3480" y="4024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533160</xdr:colOff>
      <xdr:row>16</xdr:row>
      <xdr:rowOff>56880</xdr:rowOff>
    </xdr:from>
    <xdr:to>
      <xdr:col>10</xdr:col>
      <xdr:colOff>533520</xdr:colOff>
      <xdr:row>16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14:cNvPr>
            <xdr14:cNvContentPartPr/>
          </xdr14:nvContentPartPr>
          <xdr14:nvPr macro=""/>
          <xdr14:xfrm>
            <a:off x="6933960" y="298296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16320" y="296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394447</xdr:colOff>
      <xdr:row>7</xdr:row>
      <xdr:rowOff>0</xdr:rowOff>
    </xdr:from>
    <xdr:to>
      <xdr:col>15</xdr:col>
      <xdr:colOff>423713</xdr:colOff>
      <xdr:row>31</xdr:row>
      <xdr:rowOff>31377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5D2993-DE17-CBC3-7834-AE8674E29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0306" y="1286435"/>
          <a:ext cx="5798054" cy="44420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16</xdr:col>
      <xdr:colOff>455943</xdr:colOff>
      <xdr:row>19</xdr:row>
      <xdr:rowOff>66324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60D20-EC08-733B-DD2E-980682D00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731520"/>
          <a:ext cx="10057143" cy="28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186690</xdr:colOff>
      <xdr:row>5</xdr:row>
      <xdr:rowOff>114300</xdr:rowOff>
    </xdr:from>
    <xdr:to>
      <xdr:col>19</xdr:col>
      <xdr:colOff>145410</xdr:colOff>
      <xdr:row>18</xdr:row>
      <xdr:rowOff>3527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AA0A76-D5BE-5B8F-941A-F2D7FD62A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930" y="1028700"/>
          <a:ext cx="10200000" cy="22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548640</xdr:colOff>
      <xdr:row>4</xdr:row>
      <xdr:rowOff>26670</xdr:rowOff>
    </xdr:from>
    <xdr:to>
      <xdr:col>22</xdr:col>
      <xdr:colOff>0</xdr:colOff>
      <xdr:row>26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A6F17-97EE-5FAA-5323-0DB9A2C6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251460</xdr:colOff>
      <xdr:row>7</xdr:row>
      <xdr:rowOff>118110</xdr:rowOff>
    </xdr:from>
    <xdr:to>
      <xdr:col>12</xdr:col>
      <xdr:colOff>369913</xdr:colOff>
      <xdr:row>24</xdr:row>
      <xdr:rowOff>42173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23337D-973B-23F2-4C39-F198BC57F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9570" y="1398270"/>
          <a:ext cx="3958933" cy="303302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3:59.6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22 1 24575,'0'0'-8191</inkml:trace>
  <inkml:trace contextRef="#ctx0" brushRef="#br0" timeOffset="797.39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4:02.23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 1 24575,'-2'0'0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5.79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8.9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defaultRowHeight="14.4" x14ac:dyDescent="0.55000000000000004"/>
  <sheetData>
    <row r="1" spans="1:3" x14ac:dyDescent="0.55000000000000004">
      <c r="A1" s="1" t="s">
        <v>4</v>
      </c>
      <c r="C1" s="1" t="s">
        <v>5</v>
      </c>
    </row>
    <row r="2" spans="1:3" x14ac:dyDescent="0.55000000000000004">
      <c r="A2" s="1">
        <v>1.35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13-F410-453D-837B-35A372E54D6F}">
  <dimension ref="A1:D2"/>
  <sheetViews>
    <sheetView tabSelected="1" zoomScale="85" zoomScaleNormal="85" workbookViewId="0">
      <selection activeCell="A2" sqref="A2"/>
    </sheetView>
  </sheetViews>
  <sheetFormatPr defaultRowHeight="14.4" x14ac:dyDescent="0.55000000000000004"/>
  <sheetData>
    <row r="1" spans="1:4" x14ac:dyDescent="0.55000000000000004">
      <c r="A1" s="1" t="s">
        <v>6</v>
      </c>
      <c r="C1" s="1" t="s">
        <v>7</v>
      </c>
      <c r="D1" s="2"/>
    </row>
    <row r="2" spans="1:4" x14ac:dyDescent="0.55000000000000004">
      <c r="A2" s="1">
        <v>49.4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F88-CE71-46B0-B852-A0AD48FE1829}">
  <dimension ref="A1:C2"/>
  <sheetViews>
    <sheetView workbookViewId="0">
      <selection activeCell="A2" sqref="A2"/>
    </sheetView>
  </sheetViews>
  <sheetFormatPr defaultRowHeight="14.4" x14ac:dyDescent="0.55000000000000004"/>
  <sheetData>
    <row r="1" spans="1:3" x14ac:dyDescent="0.55000000000000004">
      <c r="A1" s="1" t="s">
        <v>0</v>
      </c>
      <c r="C1" s="1" t="s">
        <v>3</v>
      </c>
    </row>
    <row r="2" spans="1:3" x14ac:dyDescent="0.55000000000000004">
      <c r="A2" s="1">
        <v>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204-1871-4182-BAAB-6E69454BB376}">
  <dimension ref="A1:C2"/>
  <sheetViews>
    <sheetView workbookViewId="0">
      <selection activeCell="A2" sqref="A2"/>
    </sheetView>
  </sheetViews>
  <sheetFormatPr defaultRowHeight="14.4" x14ac:dyDescent="0.55000000000000004"/>
  <sheetData>
    <row r="1" spans="1:3" x14ac:dyDescent="0.55000000000000004">
      <c r="A1" s="1" t="s">
        <v>1</v>
      </c>
      <c r="C1" s="1" t="s">
        <v>2</v>
      </c>
    </row>
    <row r="2" spans="1:3" x14ac:dyDescent="0.55000000000000004">
      <c r="A2" s="1">
        <v>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E17-57C2-4B7B-BC44-F8D73FE87337}">
  <dimension ref="A1:C13"/>
  <sheetViews>
    <sheetView workbookViewId="0">
      <selection activeCell="Q28" sqref="Q28"/>
    </sheetView>
  </sheetViews>
  <sheetFormatPr defaultRowHeight="14.4" x14ac:dyDescent="0.55000000000000004"/>
  <cols>
    <col min="1" max="2" width="8.83984375" style="1"/>
    <col min="3" max="3" width="10.05078125" bestFit="1" customWidth="1"/>
  </cols>
  <sheetData>
    <row r="1" spans="1:3" x14ac:dyDescent="0.55000000000000004">
      <c r="A1" s="3" t="s">
        <v>4</v>
      </c>
      <c r="B1" s="3" t="s">
        <v>0</v>
      </c>
    </row>
    <row r="2" spans="1:3" x14ac:dyDescent="0.55000000000000004">
      <c r="A2">
        <v>0</v>
      </c>
      <c r="B2">
        <v>0</v>
      </c>
    </row>
    <row r="3" spans="1:3" x14ac:dyDescent="0.55000000000000004">
      <c r="A3">
        <v>0.49999994716486101</v>
      </c>
      <c r="B3" s="4">
        <v>1.0000000000000001E-9</v>
      </c>
    </row>
    <row r="4" spans="1:3" x14ac:dyDescent="0.55000000000000004">
      <c r="A4">
        <v>0.811634276437039</v>
      </c>
      <c r="B4" s="4">
        <v>9.9999999999999995E-7</v>
      </c>
    </row>
    <row r="5" spans="1:3" x14ac:dyDescent="0.55000000000000004">
      <c r="A5">
        <v>0.88088634960863399</v>
      </c>
      <c r="B5">
        <v>0.67499930143349796</v>
      </c>
    </row>
    <row r="6" spans="1:3" x14ac:dyDescent="0.55000000000000004">
      <c r="A6">
        <v>1.24376717075968</v>
      </c>
      <c r="B6">
        <v>8.0249984765051394</v>
      </c>
    </row>
    <row r="7" spans="1:3" x14ac:dyDescent="0.55000000000000004">
      <c r="A7">
        <v>1.4999998414945801</v>
      </c>
      <c r="B7">
        <v>13.199996299743299</v>
      </c>
    </row>
    <row r="8" spans="1:3" x14ac:dyDescent="0.55000000000000004">
      <c r="A8">
        <v>1.74930730491232</v>
      </c>
      <c r="B8">
        <v>18.300000982284601</v>
      </c>
    </row>
    <row r="9" spans="1:3" x14ac:dyDescent="0.55000000000000004">
      <c r="A9">
        <v>1.9986147683300599</v>
      </c>
      <c r="B9">
        <v>23.375000321865102</v>
      </c>
    </row>
    <row r="10" spans="1:3" x14ac:dyDescent="0.55000000000000004">
      <c r="A10">
        <v>2.2479222317478098</v>
      </c>
      <c r="B10">
        <v>28.325001556873399</v>
      </c>
    </row>
    <row r="11" spans="1:3" x14ac:dyDescent="0.55000000000000004">
      <c r="A11">
        <v>2.3324098455533702</v>
      </c>
      <c r="B11">
        <v>30.075001723766398</v>
      </c>
      <c r="C11">
        <f>(A11-A5)*10^3/(B11-B5)</f>
        <v>49.371543413279674</v>
      </c>
    </row>
    <row r="12" spans="1:3" x14ac:dyDescent="0.55000000000000004">
      <c r="A12"/>
      <c r="B12"/>
    </row>
    <row r="13" spans="1:3" x14ac:dyDescent="0.55000000000000004">
      <c r="A13"/>
      <c r="B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VF</vt:lpstr>
      <vt:lpstr>Rd</vt:lpstr>
      <vt:lpstr>IF</vt:lpstr>
      <vt:lpstr>Qc</vt:lpstr>
      <vt:lpstr>IF_VF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2026-02-10T07:12:33Z</dcterms:modified>
</cp:coreProperties>
</file>