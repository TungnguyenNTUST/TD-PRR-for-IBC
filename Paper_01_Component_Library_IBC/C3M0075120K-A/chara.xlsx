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C3M0075120K-A\"/>
    </mc:Choice>
  </mc:AlternateContent>
  <xr:revisionPtr revIDLastSave="0" documentId="13_ncr:1_{4CCCBBB4-B6E3-4C7A-95F1-9B1632C39E0B}" xr6:coauthVersionLast="47" xr6:coauthVersionMax="47" xr10:uidLastSave="{00000000-0000-0000-0000-000000000000}"/>
  <bookViews>
    <workbookView xWindow="-96" yWindow="-96" windowWidth="23232" windowHeight="13872" firstSheet="1" activeTab="12" xr2:uid="{1DC577F3-6A93-4C22-BF5B-FC5AFCB40FFF}"/>
  </bookViews>
  <sheets>
    <sheet name="Capacitance" sheetId="1" r:id="rId1"/>
    <sheet name="Output" sheetId="2" r:id="rId2"/>
    <sheet name="Rds(on)" sheetId="6" r:id="rId3"/>
    <sheet name="Transfer" sheetId="3" r:id="rId4"/>
    <sheet name="Rg" sheetId="7" r:id="rId5"/>
    <sheet name="VTH" sheetId="4" r:id="rId6"/>
    <sheet name="body diode" sheetId="5" r:id="rId7"/>
    <sheet name="Ciss" sheetId="8" r:id="rId8"/>
    <sheet name="Coss" sheetId="9" r:id="rId9"/>
    <sheet name="Crss" sheetId="10" r:id="rId10"/>
    <sheet name="Eon" sheetId="11" r:id="rId11"/>
    <sheet name="Eoff" sheetId="12" r:id="rId12"/>
    <sheet name="ID_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6" l="1"/>
</calcChain>
</file>

<file path=xl/sharedStrings.xml><?xml version="1.0" encoding="utf-8"?>
<sst xmlns="http://schemas.openxmlformats.org/spreadsheetml/2006/main" count="29" uniqueCount="26">
  <si>
    <t>Vds (V)</t>
  </si>
  <si>
    <t>Ids (A)</t>
    <phoneticPr fontId="1" type="noConversion"/>
  </si>
  <si>
    <t>Vgs</t>
    <phoneticPr fontId="1" type="noConversion"/>
  </si>
  <si>
    <t>Vgs (V)</t>
  </si>
  <si>
    <t>Ids (mA)</t>
  </si>
  <si>
    <t>VTH</t>
    <phoneticPr fontId="1" type="noConversion"/>
  </si>
  <si>
    <t>Vsd</t>
    <phoneticPr fontId="1" type="noConversion"/>
  </si>
  <si>
    <t>Isd</t>
    <phoneticPr fontId="1" type="noConversion"/>
  </si>
  <si>
    <t>Tj</t>
    <phoneticPr fontId="1" type="noConversion"/>
  </si>
  <si>
    <t>Ciss</t>
    <phoneticPr fontId="1" type="noConversion"/>
  </si>
  <si>
    <t xml:space="preserve"> Coss</t>
    <phoneticPr fontId="1" type="noConversion"/>
  </si>
  <si>
    <t>Crss</t>
    <phoneticPr fontId="1" type="noConversion"/>
  </si>
  <si>
    <t>1390pF</t>
    <phoneticPr fontId="1" type="noConversion"/>
  </si>
  <si>
    <t>58pF</t>
    <phoneticPr fontId="1" type="noConversion"/>
  </si>
  <si>
    <t>2pF</t>
    <phoneticPr fontId="1" type="noConversion"/>
  </si>
  <si>
    <t>Rds(on)</t>
  </si>
  <si>
    <t>Rg</t>
    <phoneticPr fontId="1" type="noConversion"/>
  </si>
  <si>
    <t>Vds</t>
    <phoneticPr fontId="1" type="noConversion"/>
  </si>
  <si>
    <t>Vds_V</t>
  </si>
  <si>
    <t>Ciss_pF</t>
  </si>
  <si>
    <t>Coss_pF</t>
    <phoneticPr fontId="1" type="noConversion"/>
  </si>
  <si>
    <t>Crss_pF</t>
    <phoneticPr fontId="1" type="noConversion"/>
  </si>
  <si>
    <t>Eon</t>
  </si>
  <si>
    <t>Eoff</t>
  </si>
  <si>
    <t>75m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</si>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</sst>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1"/>
    <xf numFmtId="0" fontId="2" fillId="0" borderId="2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</cellXfs>
  <cellStyles count="2">
    <cellStyle name="Normal" xfId="0" builtinId="0"/>
    <cellStyle name="一般 2" xfId="1" xr:uid="{92F94A6E-1498-49C3-8754-C4D840535F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Output!$C$2:$C$26</c:f>
              <c:numCache>
                <c:formatCode>General</c:formatCode>
                <c:ptCount val="25"/>
                <c:pt idx="0">
                  <c:v>0</c:v>
                </c:pt>
                <c:pt idx="1">
                  <c:v>0.20434265207768501</c:v>
                </c:pt>
                <c:pt idx="2">
                  <c:v>0.39591301298123399</c:v>
                </c:pt>
                <c:pt idx="3">
                  <c:v>0.60025566505891903</c:v>
                </c:pt>
                <c:pt idx="4">
                  <c:v>0.85568321892186905</c:v>
                </c:pt>
                <c:pt idx="5">
                  <c:v>1.1494252103579199</c:v>
                </c:pt>
                <c:pt idx="6">
                  <c:v>1.4048527642208699</c:v>
                </c:pt>
                <c:pt idx="7">
                  <c:v>1.6985947556569201</c:v>
                </c:pt>
                <c:pt idx="8">
                  <c:v>1.9540229185072</c:v>
                </c:pt>
                <c:pt idx="9">
                  <c:v>2.2733076653295501</c:v>
                </c:pt>
                <c:pt idx="10">
                  <c:v>2.5798207299650899</c:v>
                </c:pt>
                <c:pt idx="11">
                  <c:v>2.8480199660148502</c:v>
                </c:pt>
                <c:pt idx="12">
                  <c:v>3.1034475198778</c:v>
                </c:pt>
                <c:pt idx="13">
                  <c:v>3.3971901203011798</c:v>
                </c:pt>
                <c:pt idx="14">
                  <c:v>3.7292453313356901</c:v>
                </c:pt>
                <c:pt idx="15">
                  <c:v>4.1507023176778697</c:v>
                </c:pt>
                <c:pt idx="16">
                  <c:v>4.6104731326058301</c:v>
                </c:pt>
                <c:pt idx="17">
                  <c:v>5.1468703867306997</c:v>
                </c:pt>
                <c:pt idx="18">
                  <c:v>5.7982115625622104</c:v>
                </c:pt>
                <c:pt idx="19">
                  <c:v>6.4112376918332901</c:v>
                </c:pt>
                <c:pt idx="20">
                  <c:v>7.0625788676647998</c:v>
                </c:pt>
                <c:pt idx="21">
                  <c:v>7.8416332114404597</c:v>
                </c:pt>
                <c:pt idx="22">
                  <c:v>8.7739453055085299</c:v>
                </c:pt>
                <c:pt idx="23">
                  <c:v>9.4891436742994504</c:v>
                </c:pt>
                <c:pt idx="24">
                  <c:v>10</c:v>
                </c:pt>
              </c:numCache>
            </c:numRef>
          </c:xVal>
          <c:yVal>
            <c:numRef>
              <c:f>Output!$D$2:$D$26</c:f>
              <c:numCache>
                <c:formatCode>General</c:formatCode>
                <c:ptCount val="25"/>
                <c:pt idx="0">
                  <c:v>0</c:v>
                </c:pt>
                <c:pt idx="1">
                  <c:v>3.2000005086262902</c:v>
                </c:pt>
                <c:pt idx="2">
                  <c:v>5.7904778028561203</c:v>
                </c:pt>
                <c:pt idx="3">
                  <c:v>8.3809550970859608</c:v>
                </c:pt>
                <c:pt idx="4">
                  <c:v>11.8857172129104</c:v>
                </c:pt>
                <c:pt idx="5">
                  <c:v>15.542856499289099</c:v>
                </c:pt>
                <c:pt idx="6">
                  <c:v>18.742857007915401</c:v>
                </c:pt>
                <c:pt idx="7">
                  <c:v>22.247619123739899</c:v>
                </c:pt>
                <c:pt idx="8">
                  <c:v>25.142850759078101</c:v>
                </c:pt>
                <c:pt idx="9">
                  <c:v>28.647620140992501</c:v>
                </c:pt>
                <c:pt idx="10">
                  <c:v>31.999997820173</c:v>
                </c:pt>
                <c:pt idx="11">
                  <c:v>34.895236721601101</c:v>
                </c:pt>
                <c:pt idx="12">
                  <c:v>37.333329579186902</c:v>
                </c:pt>
                <c:pt idx="13">
                  <c:v>40.228575746704799</c:v>
                </c:pt>
                <c:pt idx="14">
                  <c:v>43.276191818687003</c:v>
                </c:pt>
                <c:pt idx="15">
                  <c:v>46.933334738110702</c:v>
                </c:pt>
                <c:pt idx="16">
                  <c:v>50.4380968539352</c:v>
                </c:pt>
                <c:pt idx="17">
                  <c:v>54.400001380557001</c:v>
                </c:pt>
                <c:pt idx="18">
                  <c:v>58.514286710778002</c:v>
                </c:pt>
                <c:pt idx="19">
                  <c:v>62.171429630201601</c:v>
                </c:pt>
                <c:pt idx="20">
                  <c:v>65.371430138827904</c:v>
                </c:pt>
                <c:pt idx="21">
                  <c:v>68.876188621607497</c:v>
                </c:pt>
                <c:pt idx="22">
                  <c:v>72.076187313711301</c:v>
                </c:pt>
                <c:pt idx="23">
                  <c:v>74.209520380621399</c:v>
                </c:pt>
                <c:pt idx="24">
                  <c:v>75.276189638860103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E-46A1-A62C-8EDD6B1B8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460559"/>
        <c:axId val="1645463055"/>
      </c:scatterChart>
      <c:valAx>
        <c:axId val="1645460559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5463055"/>
        <c:crosses val="autoZero"/>
        <c:crossBetween val="midCat"/>
      </c:valAx>
      <c:valAx>
        <c:axId val="16454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546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Transfer!$C$2:$C$22</c:f>
              <c:numCache>
                <c:formatCode>General</c:formatCode>
                <c:ptCount val="21"/>
                <c:pt idx="0">
                  <c:v>0</c:v>
                </c:pt>
                <c:pt idx="1">
                  <c:v>3.6160231221197501</c:v>
                </c:pt>
                <c:pt idx="2">
                  <c:v>4.4475125207603599</c:v>
                </c:pt>
                <c:pt idx="3">
                  <c:v>5.0469607464950297</c:v>
                </c:pt>
                <c:pt idx="4">
                  <c:v>5.6464089722297004</c:v>
                </c:pt>
                <c:pt idx="5">
                  <c:v>6.2458553538430799</c:v>
                </c:pt>
                <c:pt idx="6">
                  <c:v>6.8259661236234299</c:v>
                </c:pt>
                <c:pt idx="7">
                  <c:v>7.3093914577535104</c:v>
                </c:pt>
                <c:pt idx="8">
                  <c:v>7.7348062681419503</c:v>
                </c:pt>
                <c:pt idx="9">
                  <c:v>8.0441981869257901</c:v>
                </c:pt>
                <c:pt idx="10">
                  <c:v>8.4696111531929308</c:v>
                </c:pt>
                <c:pt idx="11">
                  <c:v>8.7209925482351291</c:v>
                </c:pt>
                <c:pt idx="12">
                  <c:v>9.01104885518596</c:v>
                </c:pt>
                <c:pt idx="13">
                  <c:v>9.2624302502281601</c:v>
                </c:pt>
                <c:pt idx="14">
                  <c:v>9.4944741893160405</c:v>
                </c:pt>
                <c:pt idx="15">
                  <c:v>9.7458555843582406</c:v>
                </c:pt>
                <c:pt idx="16">
                  <c:v>9.9778995234461192</c:v>
                </c:pt>
                <c:pt idx="17">
                  <c:v>10.209943462534</c:v>
                </c:pt>
                <c:pt idx="18">
                  <c:v>10.5193353813178</c:v>
                </c:pt>
                <c:pt idx="19">
                  <c:v>10.848064756056001</c:v>
                </c:pt>
                <c:pt idx="20">
                  <c:v>11.2154671985815</c:v>
                </c:pt>
              </c:numCache>
            </c:numRef>
          </c:xVal>
          <c:yVal>
            <c:numRef>
              <c:f>Transfer!$D$2:$D$22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1.1001991544571701</c:v>
                </c:pt>
                <c:pt idx="3" formatCode="General">
                  <c:v>1.8860492695035</c:v>
                </c:pt>
                <c:pt idx="4" formatCode="General">
                  <c:v>3.1434229436661201</c:v>
                </c:pt>
                <c:pt idx="5" formatCode="General">
                  <c:v>5.1866392383814501</c:v>
                </c:pt>
                <c:pt idx="6" formatCode="General">
                  <c:v>8.1728876623421396</c:v>
                </c:pt>
                <c:pt idx="7" formatCode="General">
                  <c:v>11.787819176137299</c:v>
                </c:pt>
                <c:pt idx="8" formatCode="General">
                  <c:v>16.188608299472399</c:v>
                </c:pt>
                <c:pt idx="9" formatCode="General">
                  <c:v>20.117881358184899</c:v>
                </c:pt>
                <c:pt idx="10" formatCode="General">
                  <c:v>26.247545231318099</c:v>
                </c:pt>
                <c:pt idx="11" formatCode="General">
                  <c:v>30.805501379864999</c:v>
                </c:pt>
                <c:pt idx="12" formatCode="General">
                  <c:v>35.834973593034697</c:v>
                </c:pt>
                <c:pt idx="13" formatCode="General">
                  <c:v>41.178783603874699</c:v>
                </c:pt>
                <c:pt idx="14" formatCode="General">
                  <c:v>46.208252069797602</c:v>
                </c:pt>
                <c:pt idx="15" formatCode="General">
                  <c:v>51.709232853096303</c:v>
                </c:pt>
                <c:pt idx="16" formatCode="General">
                  <c:v>57.210217383641798</c:v>
                </c:pt>
                <c:pt idx="17" formatCode="General">
                  <c:v>62.239685849564601</c:v>
                </c:pt>
                <c:pt idx="18" formatCode="General">
                  <c:v>68.840862040073702</c:v>
                </c:pt>
                <c:pt idx="19" formatCode="General">
                  <c:v>74.970527786830303</c:v>
                </c:pt>
                <c:pt idx="20" formatCode="General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4-4418-9C0E-74D4D47B0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483871"/>
        <c:axId val="1591481791"/>
      </c:scatterChart>
      <c:valAx>
        <c:axId val="159148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481791"/>
        <c:crosses val="autoZero"/>
        <c:crossBetween val="midCat"/>
      </c:valAx>
      <c:valAx>
        <c:axId val="159148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48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diode'!$A$2:$A$28</c:f>
              <c:numCache>
                <c:formatCode>General</c:formatCode>
                <c:ptCount val="27"/>
                <c:pt idx="0">
                  <c:v>0</c:v>
                </c:pt>
                <c:pt idx="1">
                  <c:v>0.70528899484469199</c:v>
                </c:pt>
                <c:pt idx="2">
                  <c:v>2.0025190694324699</c:v>
                </c:pt>
                <c:pt idx="3">
                  <c:v>2.2670027427745199</c:v>
                </c:pt>
                <c:pt idx="4">
                  <c:v>2.4811086307705099</c:v>
                </c:pt>
                <c:pt idx="5">
                  <c:v>2.6826197721547098</c:v>
                </c:pt>
                <c:pt idx="6">
                  <c:v>2.9848864842310099</c:v>
                </c:pt>
                <c:pt idx="7">
                  <c:v>3.3501257282651502</c:v>
                </c:pt>
                <c:pt idx="8">
                  <c:v>3.6397988948308</c:v>
                </c:pt>
                <c:pt idx="9">
                  <c:v>4.0554159242109904</c:v>
                </c:pt>
                <c:pt idx="10">
                  <c:v>4.4206551682451396</c:v>
                </c:pt>
                <c:pt idx="11">
                  <c:v>4.6725440949753896</c:v>
                </c:pt>
                <c:pt idx="12">
                  <c:v>4.9622172615410296</c:v>
                </c:pt>
                <c:pt idx="13">
                  <c:v>5.1889166950476797</c:v>
                </c:pt>
                <c:pt idx="14">
                  <c:v>5.4282120762672799</c:v>
                </c:pt>
                <c:pt idx="15">
                  <c:v>5.7052892951199796</c:v>
                </c:pt>
                <c:pt idx="16">
                  <c:v>5.9193951831159701</c:v>
                </c:pt>
                <c:pt idx="17">
                  <c:v>6.1460946166226202</c:v>
                </c:pt>
                <c:pt idx="18">
                  <c:v>6.3853911989433598</c:v>
                </c:pt>
                <c:pt idx="19">
                  <c:v>6.6372801256736098</c:v>
                </c:pt>
                <c:pt idx="20">
                  <c:v>6.8765743057920599</c:v>
                </c:pt>
                <c:pt idx="21">
                  <c:v>7.1410579791341098</c:v>
                </c:pt>
                <c:pt idx="22">
                  <c:v>7.38035275980313</c:v>
                </c:pt>
                <c:pt idx="23">
                  <c:v>7.6070527938603503</c:v>
                </c:pt>
                <c:pt idx="24">
                  <c:v>7.8085645357951199</c:v>
                </c:pt>
                <c:pt idx="25">
                  <c:v>8.0100756771793193</c:v>
                </c:pt>
                <c:pt idx="26">
                  <c:v>8.2619646039095702</c:v>
                </c:pt>
              </c:numCache>
            </c:numRef>
          </c:xVal>
          <c:yVal>
            <c:numRef>
              <c:f>'body diode'!$B$2:$B$28</c:f>
              <c:numCache>
                <c:formatCode>0.00E+00</c:formatCode>
                <c:ptCount val="27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1.12149432753144</c:v>
                </c:pt>
                <c:pt idx="3" formatCode="General">
                  <c:v>2.99065154008384</c:v>
                </c:pt>
                <c:pt idx="4" formatCode="General">
                  <c:v>6.3551478919451201</c:v>
                </c:pt>
                <c:pt idx="5" formatCode="General">
                  <c:v>10.093466773472199</c:v>
                </c:pt>
                <c:pt idx="6" formatCode="General">
                  <c:v>14.9532755261085</c:v>
                </c:pt>
                <c:pt idx="7" formatCode="General">
                  <c:v>20.934578606276201</c:v>
                </c:pt>
                <c:pt idx="8" formatCode="General">
                  <c:v>25.794387358912399</c:v>
                </c:pt>
                <c:pt idx="9" formatCode="General">
                  <c:v>34.392537275187401</c:v>
                </c:pt>
                <c:pt idx="10" formatCode="General">
                  <c:v>42.990651540083803</c:v>
                </c:pt>
                <c:pt idx="11" formatCode="General">
                  <c:v>49.719626418117102</c:v>
                </c:pt>
                <c:pt idx="12" formatCode="General">
                  <c:v>57.943927066192302</c:v>
                </c:pt>
                <c:pt idx="13" formatCode="General">
                  <c:v>65.046733386736094</c:v>
                </c:pt>
                <c:pt idx="14" formatCode="General">
                  <c:v>72.897193679456194</c:v>
                </c:pt>
                <c:pt idx="15" formatCode="General">
                  <c:v>82.616820097573395</c:v>
                </c:pt>
                <c:pt idx="16" formatCode="General">
                  <c:v>90.841129658493202</c:v>
                </c:pt>
                <c:pt idx="17" formatCode="General">
                  <c:v>99.439261749078895</c:v>
                </c:pt>
                <c:pt idx="18" formatCode="General">
                  <c:v>109.15889708004001</c:v>
                </c:pt>
                <c:pt idx="19" formatCode="General">
                  <c:v>120</c:v>
                </c:pt>
                <c:pt idx="20" formatCode="General">
                  <c:v>130.467298215982</c:v>
                </c:pt>
                <c:pt idx="21" formatCode="General">
                  <c:v>142.42990437631801</c:v>
                </c:pt>
                <c:pt idx="22" formatCode="General">
                  <c:v>154.39254618803199</c:v>
                </c:pt>
                <c:pt idx="23" formatCode="General">
                  <c:v>165.607507289035</c:v>
                </c:pt>
                <c:pt idx="24" formatCode="General">
                  <c:v>175.70094732397399</c:v>
                </c:pt>
                <c:pt idx="25" formatCode="General">
                  <c:v>186.54206806962199</c:v>
                </c:pt>
                <c:pt idx="26" formatCode="General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6-42A4-AAB3-646369CFE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848511"/>
        <c:axId val="1647848927"/>
      </c:scatterChart>
      <c:valAx>
        <c:axId val="164784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7848927"/>
        <c:crosses val="autoZero"/>
        <c:crossBetween val="midCat"/>
      </c:valAx>
      <c:valAx>
        <c:axId val="16478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784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Ciss!$A$2:$A$9</c:f>
              <c:numCache>
                <c:formatCode>General</c:formatCode>
                <c:ptCount val="8"/>
                <c:pt idx="0">
                  <c:v>0</c:v>
                </c:pt>
                <c:pt idx="1">
                  <c:v>38.1471667557974</c:v>
                </c:pt>
                <c:pt idx="2">
                  <c:v>158.03825299341901</c:v>
                </c:pt>
                <c:pt idx="3">
                  <c:v>294.278032177542</c:v>
                </c:pt>
                <c:pt idx="4">
                  <c:v>449.59129729327998</c:v>
                </c:pt>
                <c:pt idx="5">
                  <c:v>600.81740541343902</c:v>
                </c:pt>
                <c:pt idx="6">
                  <c:v>801.08991719404503</c:v>
                </c:pt>
                <c:pt idx="7">
                  <c:v>1000</c:v>
                </c:pt>
              </c:numCache>
            </c:numRef>
          </c:xVal>
          <c:yVal>
            <c:numRef>
              <c:f>Ciss!$B$2:$B$9</c:f>
              <c:numCache>
                <c:formatCode>General</c:formatCode>
                <c:ptCount val="8"/>
                <c:pt idx="0">
                  <c:v>527.100665551867</c:v>
                </c:pt>
                <c:pt idx="1">
                  <c:v>490.15722529958902</c:v>
                </c:pt>
                <c:pt idx="2">
                  <c:v>490.15722529958902</c:v>
                </c:pt>
                <c:pt idx="3">
                  <c:v>490.15722529958902</c:v>
                </c:pt>
                <c:pt idx="4">
                  <c:v>490.15722529958902</c:v>
                </c:pt>
                <c:pt idx="5">
                  <c:v>490.15722529958902</c:v>
                </c:pt>
                <c:pt idx="6">
                  <c:v>490.15722529958902</c:v>
                </c:pt>
                <c:pt idx="7">
                  <c:v>490.15722529958902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E-43E4-81DA-D716A9070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483296"/>
        <c:axId val="1444492864"/>
      </c:scatterChart>
      <c:valAx>
        <c:axId val="144448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4492864"/>
        <c:crosses val="autoZero"/>
        <c:crossBetween val="midCat"/>
      </c:valAx>
      <c:valAx>
        <c:axId val="1444492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448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Coss!$A$2:$A$15</c:f>
              <c:numCache>
                <c:formatCode>General</c:formatCode>
                <c:ptCount val="14"/>
                <c:pt idx="0">
                  <c:v>0</c:v>
                </c:pt>
                <c:pt idx="1">
                  <c:v>9.5368079299966304</c:v>
                </c:pt>
                <c:pt idx="2">
                  <c:v>12.261600915111501</c:v>
                </c:pt>
                <c:pt idx="3">
                  <c:v>32.697515821378502</c:v>
                </c:pt>
                <c:pt idx="4">
                  <c:v>81.743854517635597</c:v>
                </c:pt>
                <c:pt idx="5">
                  <c:v>155.313330079926</c:v>
                </c:pt>
                <c:pt idx="6">
                  <c:v>256.13080045755498</c:v>
                </c:pt>
                <c:pt idx="7">
                  <c:v>347.41146290518799</c:v>
                </c:pt>
                <c:pt idx="8">
                  <c:v>427.79295341236002</c:v>
                </c:pt>
                <c:pt idx="9">
                  <c:v>539.50953076626001</c:v>
                </c:pt>
                <c:pt idx="10">
                  <c:v>613.07900632855103</c:v>
                </c:pt>
                <c:pt idx="11">
                  <c:v>735.69475562290995</c:v>
                </c:pt>
                <c:pt idx="12">
                  <c:v>852.86104887541796</c:v>
                </c:pt>
                <c:pt idx="13">
                  <c:v>1000</c:v>
                </c:pt>
              </c:numCache>
            </c:numRef>
          </c:xVal>
          <c:yVal>
            <c:numRef>
              <c:f>Coss!$B$2:$B$15</c:f>
              <c:numCache>
                <c:formatCode>General</c:formatCode>
                <c:ptCount val="14"/>
                <c:pt idx="0">
                  <c:v>347.08366058368199</c:v>
                </c:pt>
                <c:pt idx="1">
                  <c:v>220.391838507606</c:v>
                </c:pt>
                <c:pt idx="2">
                  <c:v>164.80208306981601</c:v>
                </c:pt>
                <c:pt idx="3">
                  <c:v>102.76246102514899</c:v>
                </c:pt>
                <c:pt idx="4">
                  <c:v>68.907205874256505</c:v>
                </c:pt>
                <c:pt idx="5">
                  <c:v>53.433142770944599</c:v>
                </c:pt>
                <c:pt idx="6">
                  <c:v>43.754827765474701</c:v>
                </c:pt>
                <c:pt idx="7">
                  <c:v>39.9556404050794</c:v>
                </c:pt>
                <c:pt idx="8">
                  <c:v>37.155196627619098</c:v>
                </c:pt>
                <c:pt idx="9">
                  <c:v>33.929077942545902</c:v>
                </c:pt>
                <c:pt idx="10">
                  <c:v>32.718469457691903</c:v>
                </c:pt>
                <c:pt idx="11">
                  <c:v>32.129474965838298</c:v>
                </c:pt>
                <c:pt idx="12">
                  <c:v>32.129474965838298</c:v>
                </c:pt>
                <c:pt idx="13">
                  <c:v>32.129474965838298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C-4F0B-A6BD-C7DD1EE3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62176"/>
        <c:axId val="1311762592"/>
      </c:scatterChart>
      <c:valAx>
        <c:axId val="131176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11762592"/>
        <c:crosses val="autoZero"/>
        <c:crossBetween val="midCat"/>
      </c:valAx>
      <c:valAx>
        <c:axId val="1311762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1176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</c:f>
              <c:strCache>
                <c:ptCount val="1"/>
                <c:pt idx="0">
                  <c:v>Crss_pF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Crss!$A$2:$A$18</c:f>
              <c:numCache>
                <c:formatCode>General</c:formatCode>
                <c:ptCount val="17"/>
                <c:pt idx="0">
                  <c:v>0</c:v>
                </c:pt>
                <c:pt idx="1">
                  <c:v>5.4495859702297098</c:v>
                </c:pt>
                <c:pt idx="2">
                  <c:v>9.5368079299966304</c:v>
                </c:pt>
                <c:pt idx="3">
                  <c:v>9.5368079299966304</c:v>
                </c:pt>
                <c:pt idx="4">
                  <c:v>12.261600915111501</c:v>
                </c:pt>
                <c:pt idx="5">
                  <c:v>21.798473809297299</c:v>
                </c:pt>
                <c:pt idx="6">
                  <c:v>44.959116736490103</c:v>
                </c:pt>
                <c:pt idx="7">
                  <c:v>99.455041402976903</c:v>
                </c:pt>
                <c:pt idx="8">
                  <c:v>158.03825299341901</c:v>
                </c:pt>
                <c:pt idx="9">
                  <c:v>238.41961357221399</c:v>
                </c:pt>
                <c:pt idx="10">
                  <c:v>320.16353305403902</c:v>
                </c:pt>
                <c:pt idx="11">
                  <c:v>431.88011040793799</c:v>
                </c:pt>
                <c:pt idx="12">
                  <c:v>520.43591490626704</c:v>
                </c:pt>
                <c:pt idx="13">
                  <c:v>600.81740541343902</c:v>
                </c:pt>
                <c:pt idx="14">
                  <c:v>700.27251178060601</c:v>
                </c:pt>
                <c:pt idx="15">
                  <c:v>856.94820587099503</c:v>
                </c:pt>
                <c:pt idx="16">
                  <c:v>1000</c:v>
                </c:pt>
              </c:numCache>
            </c:numRef>
          </c:xVal>
          <c:yVal>
            <c:numRef>
              <c:f>Crss!$B$2:$B$18</c:f>
              <c:numCache>
                <c:formatCode>General</c:formatCode>
                <c:ptCount val="17"/>
                <c:pt idx="0">
                  <c:v>90.491486827491997</c:v>
                </c:pt>
                <c:pt idx="1">
                  <c:v>58.513789542054397</c:v>
                </c:pt>
                <c:pt idx="2">
                  <c:v>30.425296823787701</c:v>
                </c:pt>
                <c:pt idx="3">
                  <c:v>17.324428974425899</c:v>
                </c:pt>
                <c:pt idx="4">
                  <c:v>9.3414405190168495</c:v>
                </c:pt>
                <c:pt idx="5">
                  <c:v>5.3191021903847204</c:v>
                </c:pt>
                <c:pt idx="6">
                  <c:v>3.0287431093518902</c:v>
                </c:pt>
                <c:pt idx="7">
                  <c:v>2.1839885749842098</c:v>
                </c:pt>
                <c:pt idx="8">
                  <c:v>1.8545762756895201</c:v>
                </c:pt>
                <c:pt idx="9">
                  <c:v>1.5464978143114101</c:v>
                </c:pt>
                <c:pt idx="10">
                  <c:v>1.4122169760801799</c:v>
                </c:pt>
                <c:pt idx="11">
                  <c:v>1.26637934369461</c:v>
                </c:pt>
                <c:pt idx="12">
                  <c:v>1.19921144733242</c:v>
                </c:pt>
                <c:pt idx="13">
                  <c:v>1.15642090843763</c:v>
                </c:pt>
                <c:pt idx="14">
                  <c:v>1.15642090843763</c:v>
                </c:pt>
                <c:pt idx="15">
                  <c:v>1.15642090843763</c:v>
                </c:pt>
                <c:pt idx="16">
                  <c:v>1.15642090843763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B-4B44-A798-1F1558CC5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485376"/>
        <c:axId val="1444497856"/>
      </c:scatterChart>
      <c:valAx>
        <c:axId val="144448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4497856"/>
        <c:crosses val="autoZero"/>
        <c:crossBetween val="midCat"/>
      </c:valAx>
      <c:valAx>
        <c:axId val="1444497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448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312420</xdr:colOff>
      <xdr:row>2</xdr:row>
      <xdr:rowOff>68580</xdr:rowOff>
    </xdr:from>
    <xdr:to>
      <xdr:col>15</xdr:col>
      <xdr:colOff>374019</xdr:colOff>
      <xdr:row>6</xdr:row>
      <xdr:rowOff>137237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562BDD6-EBCE-413C-A3B3-E16B902A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1220" y="480060"/>
          <a:ext cx="7376799" cy="891617"/>
        </a:xfrm>
        <a:prstGeom prst="rect">
          <a:avLst/>
        </a:prstGeom>
      </xdr:spPr>
    </xdr:pic>
    <xdr:clientData/>
  </xdr:twoCellAnchor>
  <xdr:twoCellAnchor>
    <xdr:from>
      <xdr:col>7</xdr:col>
      <xdr:colOff>510540</xdr:colOff>
      <xdr:row>2</xdr:row>
      <xdr:rowOff>15240</xdr:rowOff>
    </xdr:from>
    <xdr:to>
      <xdr:col>11</xdr:col>
      <xdr:colOff>350520</xdr:colOff>
      <xdr:row>5</xdr:row>
      <xdr:rowOff>99060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A4116A4-6EE7-4E2D-8133-EB930B3B61BB}"/>
            </a:ext>
          </a:extLst>
        </xdr:cNvPr>
        <xdr:cNvSpPr/>
      </xdr:nvSpPr>
      <xdr:spPr>
        <a:xfrm>
          <a:off x="4777740" y="426720"/>
          <a:ext cx="2278380" cy="7010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223878</xdr:colOff>
      <xdr:row>19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48B4F3D-B885-40C3-A26D-09A03D1EF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617220"/>
          <a:ext cx="4491078" cy="3482340"/>
        </a:xfrm>
        <a:prstGeom prst="rect">
          <a:avLst/>
        </a:prstGeom>
      </xdr:spPr>
    </xdr:pic>
    <xdr:clientData/>
  </xdr:twoCellAnchor>
  <xdr:twoCellAnchor>
    <xdr:from>
      <xdr:col>9</xdr:col>
      <xdr:colOff>320040</xdr:colOff>
      <xdr:row>5</xdr:row>
      <xdr:rowOff>190500</xdr:rowOff>
    </xdr:from>
    <xdr:to>
      <xdr:col>10</xdr:col>
      <xdr:colOff>7620</xdr:colOff>
      <xdr:row>8</xdr:row>
      <xdr:rowOff>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14218DDE-3658-4705-B301-DC6D49CCD802}"/>
            </a:ext>
          </a:extLst>
        </xdr:cNvPr>
        <xdr:cNvCxnSpPr/>
      </xdr:nvCxnSpPr>
      <xdr:spPr>
        <a:xfrm>
          <a:off x="5806440" y="1219200"/>
          <a:ext cx="297180" cy="4267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</xdr:colOff>
      <xdr:row>3</xdr:row>
      <xdr:rowOff>114300</xdr:rowOff>
    </xdr:from>
    <xdr:to>
      <xdr:col>21</xdr:col>
      <xdr:colOff>308610</xdr:colOff>
      <xdr:row>16</xdr:row>
      <xdr:rowOff>182880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7FCDD68-5E91-4FE7-B11B-0DB654F55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350520</xdr:colOff>
      <xdr:row>1</xdr:row>
      <xdr:rowOff>198120</xdr:rowOff>
    </xdr:from>
    <xdr:to>
      <xdr:col>13</xdr:col>
      <xdr:colOff>290189</xdr:colOff>
      <xdr:row>5</xdr:row>
      <xdr:rowOff>83881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556BD64-6DA2-4A03-9750-45DB7177B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" y="403860"/>
          <a:ext cx="7254869" cy="708721"/>
        </a:xfrm>
        <a:prstGeom prst="rect">
          <a:avLst/>
        </a:prstGeom>
      </xdr:spPr>
    </xdr:pic>
    <xdr:clientData/>
  </xdr:twoCellAnchor>
  <xdr:twoCellAnchor>
    <xdr:from>
      <xdr:col>8</xdr:col>
      <xdr:colOff>129540</xdr:colOff>
      <xdr:row>2</xdr:row>
      <xdr:rowOff>0</xdr:rowOff>
    </xdr:from>
    <xdr:to>
      <xdr:col>9</xdr:col>
      <xdr:colOff>381000</xdr:colOff>
      <xdr:row>4</xdr:row>
      <xdr:rowOff>45720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8F8BDD4-3542-4939-BCC2-4F43A63AD2F8}"/>
            </a:ext>
          </a:extLst>
        </xdr:cNvPr>
        <xdr:cNvSpPr/>
      </xdr:nvSpPr>
      <xdr:spPr>
        <a:xfrm>
          <a:off x="5006340" y="411480"/>
          <a:ext cx="861060" cy="457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45720</xdr:colOff>
      <xdr:row>8</xdr:row>
      <xdr:rowOff>53341</xdr:rowOff>
    </xdr:from>
    <xdr:to>
      <xdr:col>12</xdr:col>
      <xdr:colOff>499444</xdr:colOff>
      <xdr:row>28</xdr:row>
      <xdr:rowOff>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597169A-F49D-40E2-B837-100795D4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" y="1699261"/>
          <a:ext cx="6549724" cy="4061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594359</xdr:colOff>
      <xdr:row>4</xdr:row>
      <xdr:rowOff>167640</xdr:rowOff>
    </xdr:from>
    <xdr:to>
      <xdr:col>12</xdr:col>
      <xdr:colOff>379858</xdr:colOff>
      <xdr:row>20</xdr:row>
      <xdr:rowOff>106680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A328660-39A6-4E26-8EAB-756150F84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359" y="990600"/>
          <a:ext cx="4052699" cy="3230880"/>
        </a:xfrm>
        <a:prstGeom prst="rect">
          <a:avLst/>
        </a:prstGeom>
      </xdr:spPr>
    </xdr:pic>
    <xdr:clientData/>
  </xdr:twoCellAnchor>
  <xdr:twoCellAnchor>
    <xdr:from>
      <xdr:col>9</xdr:col>
      <xdr:colOff>220980</xdr:colOff>
      <xdr:row>9</xdr:row>
      <xdr:rowOff>60960</xdr:rowOff>
    </xdr:from>
    <xdr:to>
      <xdr:col>10</xdr:col>
      <xdr:colOff>114300</xdr:colOff>
      <xdr:row>10</xdr:row>
      <xdr:rowOff>160020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00104F59-F35B-43E1-8693-CF45FE51F017}"/>
            </a:ext>
          </a:extLst>
        </xdr:cNvPr>
        <xdr:cNvCxnSpPr/>
      </xdr:nvCxnSpPr>
      <xdr:spPr>
        <a:xfrm>
          <a:off x="5707380" y="1912620"/>
          <a:ext cx="502920" cy="30480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</xdr:colOff>
      <xdr:row>3</xdr:row>
      <xdr:rowOff>190500</xdr:rowOff>
    </xdr:from>
    <xdr:to>
      <xdr:col>21</xdr:col>
      <xdr:colOff>316230</xdr:colOff>
      <xdr:row>17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0A99B88-8A70-4F83-84BA-0EF9CE1AB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53340</xdr:rowOff>
    </xdr:from>
    <xdr:to>
      <xdr:col>12</xdr:col>
      <xdr:colOff>541645</xdr:colOff>
      <xdr:row>3</xdr:row>
      <xdr:rowOff>129564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AF21665-3807-4729-8521-2D402D5E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464820"/>
          <a:ext cx="7216765" cy="281964"/>
        </a:xfrm>
        <a:prstGeom prst="rect">
          <a:avLst/>
        </a:prstGeom>
      </xdr:spPr>
    </xdr:pic>
    <xdr:clientData/>
  </xdr:twoCellAnchor>
  <xdr:twoCellAnchor>
    <xdr:from>
      <xdr:col>6</xdr:col>
      <xdr:colOff>525780</xdr:colOff>
      <xdr:row>1</xdr:row>
      <xdr:rowOff>190500</xdr:rowOff>
    </xdr:from>
    <xdr:to>
      <xdr:col>8</xdr:col>
      <xdr:colOff>594360</xdr:colOff>
      <xdr:row>4</xdr:row>
      <xdr:rowOff>15240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693DABA-6013-4E3D-8752-1F6F8E1748EA}"/>
            </a:ext>
          </a:extLst>
        </xdr:cNvPr>
        <xdr:cNvSpPr/>
      </xdr:nvSpPr>
      <xdr:spPr>
        <a:xfrm>
          <a:off x="4183380" y="396240"/>
          <a:ext cx="1287780" cy="4419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1</xdr:row>
      <xdr:rowOff>99060</xdr:rowOff>
    </xdr:from>
    <xdr:to>
      <xdr:col>13</xdr:col>
      <xdr:colOff>92071</xdr:colOff>
      <xdr:row>3</xdr:row>
      <xdr:rowOff>121958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74D3BC0-249C-4A86-A587-D034CC7E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304800"/>
          <a:ext cx="7285351" cy="434378"/>
        </a:xfrm>
        <a:prstGeom prst="rect">
          <a:avLst/>
        </a:prstGeom>
      </xdr:spPr>
    </xdr:pic>
    <xdr:clientData/>
  </xdr:twoCellAnchor>
  <xdr:twoCellAnchor>
    <xdr:from>
      <xdr:col>7</xdr:col>
      <xdr:colOff>502920</xdr:colOff>
      <xdr:row>1</xdr:row>
      <xdr:rowOff>45720</xdr:rowOff>
    </xdr:from>
    <xdr:to>
      <xdr:col>9</xdr:col>
      <xdr:colOff>152400</xdr:colOff>
      <xdr:row>2</xdr:row>
      <xdr:rowOff>182880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90532E7-A4F4-45B0-8490-BD17C33E3BA2}"/>
            </a:ext>
          </a:extLst>
        </xdr:cNvPr>
        <xdr:cNvSpPr/>
      </xdr:nvSpPr>
      <xdr:spPr>
        <a:xfrm>
          <a:off x="4770120" y="251460"/>
          <a:ext cx="86868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220979</xdr:colOff>
      <xdr:row>4</xdr:row>
      <xdr:rowOff>0</xdr:rowOff>
    </xdr:from>
    <xdr:to>
      <xdr:col>12</xdr:col>
      <xdr:colOff>141048</xdr:colOff>
      <xdr:row>19</xdr:row>
      <xdr:rowOff>68580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3D3A51-996F-4517-8CD3-85A0C12A3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8979" y="822960"/>
          <a:ext cx="4187269" cy="3154680"/>
        </a:xfrm>
        <a:prstGeom prst="rect">
          <a:avLst/>
        </a:prstGeom>
      </xdr:spPr>
    </xdr:pic>
    <xdr:clientData/>
  </xdr:twoCellAnchor>
  <xdr:twoCellAnchor>
    <xdr:from>
      <xdr:col>9</xdr:col>
      <xdr:colOff>60960</xdr:colOff>
      <xdr:row>8</xdr:row>
      <xdr:rowOff>7620</xdr:rowOff>
    </xdr:from>
    <xdr:to>
      <xdr:col>9</xdr:col>
      <xdr:colOff>548640</xdr:colOff>
      <xdr:row>9</xdr:row>
      <xdr:rowOff>53340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4ACD5D78-8ABF-4BD5-8C80-B2A4B405ABA8}"/>
            </a:ext>
          </a:extLst>
        </xdr:cNvPr>
        <xdr:cNvCxnSpPr/>
      </xdr:nvCxnSpPr>
      <xdr:spPr>
        <a:xfrm flipH="1" flipV="1">
          <a:off x="5547360" y="1653540"/>
          <a:ext cx="487680" cy="2514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293370</xdr:colOff>
      <xdr:row>2</xdr:row>
      <xdr:rowOff>198120</xdr:rowOff>
    </xdr:from>
    <xdr:to>
      <xdr:col>20</xdr:col>
      <xdr:colOff>598170</xdr:colOff>
      <xdr:row>16</xdr:row>
      <xdr:rowOff>60960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E491CC5-BD5E-4D49-94B8-F41208C6F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1</xdr:row>
      <xdr:rowOff>175260</xdr:rowOff>
    </xdr:from>
    <xdr:to>
      <xdr:col>9</xdr:col>
      <xdr:colOff>411815</xdr:colOff>
      <xdr:row>16</xdr:row>
      <xdr:rowOff>152665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9153858-A7EB-4FBD-88A0-907355A62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" y="388620"/>
          <a:ext cx="3871295" cy="3063505"/>
        </a:xfrm>
        <a:prstGeom prst="rect">
          <a:avLst/>
        </a:prstGeom>
      </xdr:spPr>
    </xdr:pic>
    <xdr:clientData/>
  </xdr:twoCellAnchor>
  <xdr:twoCellAnchor>
    <xdr:from>
      <xdr:col>6</xdr:col>
      <xdr:colOff>91440</xdr:colOff>
      <xdr:row>3</xdr:row>
      <xdr:rowOff>15240</xdr:rowOff>
    </xdr:from>
    <xdr:to>
      <xdr:col>6</xdr:col>
      <xdr:colOff>137160</xdr:colOff>
      <xdr:row>5</xdr:row>
      <xdr:rowOff>182880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CDA88579-88C9-4421-8957-D72464A8B8AC}"/>
            </a:ext>
          </a:extLst>
        </xdr:cNvPr>
        <xdr:cNvCxnSpPr/>
      </xdr:nvCxnSpPr>
      <xdr:spPr>
        <a:xfrm>
          <a:off x="3749040" y="640080"/>
          <a:ext cx="45720" cy="5791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251460</xdr:colOff>
      <xdr:row>1</xdr:row>
      <xdr:rowOff>106680</xdr:rowOff>
    </xdr:from>
    <xdr:to>
      <xdr:col>18</xdr:col>
      <xdr:colOff>556260</xdr:colOff>
      <xdr:row>14</xdr:row>
      <xdr:rowOff>175260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36DE489-8EF4-4651-BE81-DFF48CA68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4</xdr:row>
      <xdr:rowOff>45720</xdr:rowOff>
    </xdr:from>
    <xdr:to>
      <xdr:col>9</xdr:col>
      <xdr:colOff>427056</xdr:colOff>
      <xdr:row>19</xdr:row>
      <xdr:rowOff>20077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F716B66-979B-47A9-BED5-C49B99DF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" y="876300"/>
          <a:ext cx="3871296" cy="3060457"/>
        </a:xfrm>
        <a:prstGeom prst="rect">
          <a:avLst/>
        </a:prstGeom>
      </xdr:spPr>
    </xdr:pic>
    <xdr:clientData/>
  </xdr:twoCellAnchor>
  <xdr:twoCellAnchor>
    <xdr:from>
      <xdr:col>6</xdr:col>
      <xdr:colOff>411480</xdr:colOff>
      <xdr:row>8</xdr:row>
      <xdr:rowOff>175260</xdr:rowOff>
    </xdr:from>
    <xdr:to>
      <xdr:col>6</xdr:col>
      <xdr:colOff>495300</xdr:colOff>
      <xdr:row>11</xdr:row>
      <xdr:rowOff>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F7856289-7BAE-4DD4-BFA2-20B6805BB590}"/>
            </a:ext>
          </a:extLst>
        </xdr:cNvPr>
        <xdr:cNvCxnSpPr/>
      </xdr:nvCxnSpPr>
      <xdr:spPr>
        <a:xfrm>
          <a:off x="4069080" y="1828800"/>
          <a:ext cx="83820" cy="4419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259080</xdr:colOff>
      <xdr:row>4</xdr:row>
      <xdr:rowOff>22860</xdr:rowOff>
    </xdr:from>
    <xdr:to>
      <xdr:col>18</xdr:col>
      <xdr:colOff>563880</xdr:colOff>
      <xdr:row>17</xdr:row>
      <xdr:rowOff>91440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7E7D1F9-8749-4176-8B57-96DFA7551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205740</xdr:colOff>
      <xdr:row>2</xdr:row>
      <xdr:rowOff>144780</xdr:rowOff>
    </xdr:from>
    <xdr:to>
      <xdr:col>9</xdr:col>
      <xdr:colOff>419436</xdr:colOff>
      <xdr:row>17</xdr:row>
      <xdr:rowOff>119137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1306583-0389-4412-8D03-BB12F0E0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4540" y="563880"/>
          <a:ext cx="3871296" cy="3060457"/>
        </a:xfrm>
        <a:prstGeom prst="rect">
          <a:avLst/>
        </a:prstGeom>
      </xdr:spPr>
    </xdr:pic>
    <xdr:clientData/>
  </xdr:twoCellAnchor>
  <xdr:twoCellAnchor>
    <xdr:from>
      <xdr:col>6</xdr:col>
      <xdr:colOff>426720</xdr:colOff>
      <xdr:row>10</xdr:row>
      <xdr:rowOff>137160</xdr:rowOff>
    </xdr:from>
    <xdr:to>
      <xdr:col>6</xdr:col>
      <xdr:colOff>480060</xdr:colOff>
      <xdr:row>13</xdr:row>
      <xdr:rowOff>22860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6A410541-27EA-46E7-9C06-5B72CF602D79}"/>
            </a:ext>
          </a:extLst>
        </xdr:cNvPr>
        <xdr:cNvCxnSpPr/>
      </xdr:nvCxnSpPr>
      <xdr:spPr>
        <a:xfrm>
          <a:off x="4084320" y="2202180"/>
          <a:ext cx="53340" cy="5029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2</xdr:row>
      <xdr:rowOff>121920</xdr:rowOff>
    </xdr:from>
    <xdr:to>
      <xdr:col>18</xdr:col>
      <xdr:colOff>358140</xdr:colOff>
      <xdr:row>15</xdr:row>
      <xdr:rowOff>190500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723248A-872B-45D1-ABBB-0272519B4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9324-219A-44FF-AC24-B6B8C7C1B895}">
  <dimension ref="A1:H27"/>
  <sheetViews>
    <sheetView workbookViewId="0">
      <selection activeCell="G25" sqref="G25"/>
    </sheetView>
  </sheetViews>
  <sheetFormatPr defaultRowHeight="15.6"/>
  <sheetData>
    <row r="1" spans="1:8">
      <c r="A1" s="6" t="s">
        <v>9</v>
      </c>
      <c r="B1" s="6" t="s">
        <v>10</v>
      </c>
      <c r="C1" s="3" t="s">
        <v>11</v>
      </c>
      <c r="D1" s="7"/>
      <c r="E1" s="2"/>
      <c r="G1" s="5"/>
      <c r="H1" s="5"/>
    </row>
    <row r="2" spans="1:8">
      <c r="A2" s="8" t="s">
        <v>12</v>
      </c>
      <c r="B2" s="8" t="s">
        <v>13</v>
      </c>
      <c r="C2" s="3" t="s">
        <v>14</v>
      </c>
      <c r="D2" s="8"/>
      <c r="E2" s="4"/>
      <c r="G2" s="4"/>
      <c r="H2" s="4"/>
    </row>
    <row r="3" spans="1:8">
      <c r="A3" s="8"/>
      <c r="B3" s="8"/>
      <c r="C3" s="3"/>
      <c r="D3" s="8"/>
      <c r="E3" s="4"/>
      <c r="G3" s="4"/>
      <c r="H3" s="4"/>
    </row>
    <row r="4" spans="1:8">
      <c r="A4" s="4"/>
      <c r="B4" s="4"/>
      <c r="D4" s="4"/>
      <c r="E4" s="4"/>
      <c r="G4" s="4"/>
      <c r="H4" s="4"/>
    </row>
    <row r="5" spans="1:8">
      <c r="A5" s="4"/>
      <c r="B5" s="4"/>
      <c r="D5" s="4"/>
      <c r="E5" s="4"/>
      <c r="G5" s="4"/>
      <c r="H5" s="4"/>
    </row>
    <row r="6" spans="1:8">
      <c r="A6" s="4"/>
      <c r="B6" s="4"/>
      <c r="D6" s="4"/>
      <c r="E6" s="4"/>
      <c r="G6" s="4"/>
      <c r="H6" s="4"/>
    </row>
    <row r="7" spans="1:8">
      <c r="A7" s="4"/>
      <c r="B7" s="4"/>
      <c r="D7" s="4"/>
      <c r="E7" s="4"/>
      <c r="G7" s="4"/>
      <c r="H7" s="4"/>
    </row>
    <row r="8" spans="1:8">
      <c r="A8" s="4"/>
      <c r="B8" s="4"/>
      <c r="D8" s="4"/>
      <c r="E8" s="4"/>
      <c r="G8" s="4"/>
      <c r="H8" s="4"/>
    </row>
    <row r="9" spans="1:8">
      <c r="A9" s="4"/>
      <c r="B9" s="4"/>
      <c r="D9" s="4"/>
      <c r="E9" s="4"/>
      <c r="G9" s="4"/>
      <c r="H9" s="4"/>
    </row>
    <row r="10" spans="1:8">
      <c r="A10" s="4"/>
      <c r="B10" s="4"/>
      <c r="D10" s="4"/>
      <c r="E10" s="4"/>
      <c r="G10" s="4"/>
      <c r="H10" s="4"/>
    </row>
    <row r="11" spans="1:8">
      <c r="A11" s="4"/>
      <c r="B11" s="4"/>
      <c r="D11" s="4"/>
      <c r="E11" s="4"/>
      <c r="G11" s="4"/>
      <c r="H11" s="4"/>
    </row>
    <row r="12" spans="1:8">
      <c r="A12" s="4"/>
      <c r="B12" s="4"/>
      <c r="D12" s="4"/>
      <c r="E12" s="4"/>
      <c r="G12" s="4"/>
      <c r="H12" s="4"/>
    </row>
    <row r="13" spans="1:8">
      <c r="A13" s="4"/>
      <c r="B13" s="4"/>
      <c r="D13" s="4"/>
      <c r="E13" s="4"/>
      <c r="G13" s="4"/>
      <c r="H13" s="4"/>
    </row>
    <row r="14" spans="1:8">
      <c r="A14" s="4"/>
      <c r="B14" s="4"/>
      <c r="D14" s="4"/>
      <c r="E14" s="4"/>
      <c r="G14" s="4"/>
      <c r="H14" s="4"/>
    </row>
    <row r="15" spans="1:8">
      <c r="A15" s="4"/>
      <c r="B15" s="4"/>
      <c r="D15" s="4"/>
      <c r="E15" s="4"/>
      <c r="G15" s="4"/>
      <c r="H15" s="4"/>
    </row>
    <row r="16" spans="1:8">
      <c r="A16" s="4"/>
      <c r="B16" s="4"/>
      <c r="D16" s="4"/>
      <c r="E16" s="4"/>
      <c r="G16" s="4"/>
      <c r="H16" s="4"/>
    </row>
    <row r="17" spans="1:8">
      <c r="A17" s="4"/>
      <c r="B17" s="4"/>
      <c r="D17" s="4"/>
      <c r="E17" s="4"/>
      <c r="G17" s="4"/>
      <c r="H17" s="4"/>
    </row>
    <row r="18" spans="1:8">
      <c r="A18" s="4"/>
      <c r="B18" s="4"/>
      <c r="D18" s="4"/>
      <c r="E18" s="4"/>
      <c r="G18" s="4"/>
      <c r="H18" s="4"/>
    </row>
    <row r="19" spans="1:8">
      <c r="A19" s="4"/>
      <c r="B19" s="4"/>
      <c r="D19" s="4"/>
      <c r="E19" s="4"/>
      <c r="G19" s="4"/>
      <c r="H19" s="4"/>
    </row>
    <row r="20" spans="1:8">
      <c r="A20" s="4"/>
      <c r="B20" s="4"/>
      <c r="D20" s="4"/>
      <c r="E20" s="4"/>
      <c r="G20" s="4"/>
      <c r="H20" s="4"/>
    </row>
    <row r="21" spans="1:8">
      <c r="A21" s="4"/>
      <c r="B21" s="4"/>
      <c r="D21" s="4"/>
      <c r="E21" s="4"/>
      <c r="G21" s="4"/>
      <c r="H21" s="4"/>
    </row>
    <row r="22" spans="1:8">
      <c r="G22" s="4"/>
      <c r="H22" s="4"/>
    </row>
    <row r="23" spans="1:8">
      <c r="D23" s="4"/>
      <c r="E23" s="4"/>
      <c r="G23" s="4"/>
      <c r="H23" s="4"/>
    </row>
    <row r="24" spans="1:8">
      <c r="G24" s="4"/>
      <c r="H24" s="4"/>
    </row>
    <row r="26" spans="1:8">
      <c r="D26" s="4"/>
      <c r="E26" s="4"/>
      <c r="G26" s="4"/>
      <c r="H26" s="4"/>
    </row>
    <row r="27" spans="1:8">
      <c r="D27" s="4"/>
      <c r="E27" s="4"/>
      <c r="G27" s="4"/>
      <c r="H27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E7B7-1722-4299-8062-E1CB91AEF177}">
  <dimension ref="B1:E26"/>
  <sheetViews>
    <sheetView workbookViewId="0">
      <selection activeCell="E30" sqref="E30"/>
    </sheetView>
  </sheetViews>
  <sheetFormatPr defaultRowHeight="15.6"/>
  <sheetData>
    <row r="1" spans="2:5">
      <c r="B1" s="1"/>
      <c r="C1" s="2" t="s">
        <v>0</v>
      </c>
      <c r="D1" s="2" t="s">
        <v>1</v>
      </c>
      <c r="E1" s="3" t="s">
        <v>2</v>
      </c>
    </row>
    <row r="2" spans="2:5">
      <c r="C2" s="3">
        <v>0</v>
      </c>
      <c r="D2" s="3">
        <v>0</v>
      </c>
      <c r="E2" s="3">
        <v>15</v>
      </c>
    </row>
    <row r="3" spans="2:5">
      <c r="C3" s="3">
        <v>0.20434265207768501</v>
      </c>
      <c r="D3" s="3">
        <v>3.2000005086262902</v>
      </c>
      <c r="E3" s="3">
        <v>15</v>
      </c>
    </row>
    <row r="4" spans="2:5">
      <c r="C4" s="3">
        <v>0.39591301298123399</v>
      </c>
      <c r="D4" s="3">
        <v>5.7904778028561203</v>
      </c>
      <c r="E4" s="3">
        <v>15</v>
      </c>
    </row>
    <row r="5" spans="2:5">
      <c r="C5" s="3">
        <v>0.60025566505891903</v>
      </c>
      <c r="D5" s="3">
        <v>8.3809550970859608</v>
      </c>
      <c r="E5" s="3">
        <v>15</v>
      </c>
    </row>
    <row r="6" spans="2:5">
      <c r="C6" s="3">
        <v>0.85568321892186905</v>
      </c>
      <c r="D6" s="3">
        <v>11.8857172129104</v>
      </c>
      <c r="E6" s="3">
        <v>15</v>
      </c>
    </row>
    <row r="7" spans="2:5">
      <c r="C7" s="3">
        <v>1.1494252103579199</v>
      </c>
      <c r="D7" s="3">
        <v>15.542856499289099</v>
      </c>
      <c r="E7" s="3">
        <v>15</v>
      </c>
    </row>
    <row r="8" spans="2:5">
      <c r="C8" s="3">
        <v>1.4048527642208699</v>
      </c>
      <c r="D8" s="3">
        <v>18.742857007915401</v>
      </c>
      <c r="E8" s="3">
        <v>15</v>
      </c>
    </row>
    <row r="9" spans="2:5">
      <c r="C9" s="3">
        <v>1.6985947556569201</v>
      </c>
      <c r="D9" s="3">
        <v>22.247619123739899</v>
      </c>
      <c r="E9" s="3">
        <v>15</v>
      </c>
    </row>
    <row r="10" spans="2:5">
      <c r="C10" s="3">
        <v>1.9540229185072</v>
      </c>
      <c r="D10" s="3">
        <v>25.142850759078101</v>
      </c>
      <c r="E10" s="3">
        <v>15</v>
      </c>
    </row>
    <row r="11" spans="2:5">
      <c r="C11" s="3">
        <v>2.2733076653295501</v>
      </c>
      <c r="D11" s="3">
        <v>28.647620140992501</v>
      </c>
      <c r="E11" s="3">
        <v>15</v>
      </c>
    </row>
    <row r="12" spans="2:5">
      <c r="C12" s="3">
        <v>2.5798207299650899</v>
      </c>
      <c r="D12" s="3">
        <v>31.999997820173</v>
      </c>
      <c r="E12" s="3">
        <v>15</v>
      </c>
    </row>
    <row r="13" spans="2:5">
      <c r="C13" s="3">
        <v>2.8480199660148502</v>
      </c>
      <c r="D13" s="3">
        <v>34.895236721601101</v>
      </c>
      <c r="E13" s="3">
        <v>15</v>
      </c>
    </row>
    <row r="14" spans="2:5">
      <c r="C14" s="3">
        <v>3.1034475198778</v>
      </c>
      <c r="D14" s="3">
        <v>37.333329579186902</v>
      </c>
      <c r="E14" s="3">
        <v>15</v>
      </c>
    </row>
    <row r="15" spans="2:5">
      <c r="C15" s="3">
        <v>3.3971901203011798</v>
      </c>
      <c r="D15" s="3">
        <v>40.228575746704799</v>
      </c>
      <c r="E15" s="3">
        <v>15</v>
      </c>
    </row>
    <row r="16" spans="2:5">
      <c r="C16" s="3">
        <v>3.7292453313356901</v>
      </c>
      <c r="D16" s="3">
        <v>43.276191818687003</v>
      </c>
      <c r="E16" s="3">
        <v>15</v>
      </c>
    </row>
    <row r="17" spans="3:5">
      <c r="C17" s="3">
        <v>4.1507023176778697</v>
      </c>
      <c r="D17" s="3">
        <v>46.933334738110702</v>
      </c>
      <c r="E17" s="3">
        <v>15</v>
      </c>
    </row>
    <row r="18" spans="3:5">
      <c r="C18" s="3">
        <v>4.6104731326058301</v>
      </c>
      <c r="D18" s="3">
        <v>50.4380968539352</v>
      </c>
      <c r="E18" s="3">
        <v>15</v>
      </c>
    </row>
    <row r="19" spans="3:5">
      <c r="C19" s="3">
        <v>5.1468703867306997</v>
      </c>
      <c r="D19" s="3">
        <v>54.400001380557001</v>
      </c>
      <c r="E19" s="3">
        <v>15</v>
      </c>
    </row>
    <row r="20" spans="3:5">
      <c r="C20" s="3">
        <v>5.7982115625622104</v>
      </c>
      <c r="D20" s="3">
        <v>58.514286710778002</v>
      </c>
      <c r="E20" s="3">
        <v>15</v>
      </c>
    </row>
    <row r="21" spans="3:5">
      <c r="C21" s="3">
        <v>6.4112376918332901</v>
      </c>
      <c r="D21" s="3">
        <v>62.171429630201601</v>
      </c>
      <c r="E21" s="3">
        <v>15</v>
      </c>
    </row>
    <row r="22" spans="3:5">
      <c r="C22" s="3">
        <v>7.0625788676647998</v>
      </c>
      <c r="D22" s="3">
        <v>65.371430138827904</v>
      </c>
      <c r="E22" s="3">
        <v>15</v>
      </c>
    </row>
    <row r="23" spans="3:5">
      <c r="C23" s="3">
        <v>7.8416332114404597</v>
      </c>
      <c r="D23" s="3">
        <v>68.876188621607497</v>
      </c>
      <c r="E23" s="3">
        <v>15</v>
      </c>
    </row>
    <row r="24" spans="3:5">
      <c r="C24" s="3">
        <v>8.7739453055085299</v>
      </c>
      <c r="D24" s="3">
        <v>72.076187313711301</v>
      </c>
      <c r="E24" s="3">
        <v>15</v>
      </c>
    </row>
    <row r="25" spans="3:5">
      <c r="C25" s="3">
        <v>9.4891436742994504</v>
      </c>
      <c r="D25" s="3">
        <v>74.209520380621399</v>
      </c>
      <c r="E25" s="3">
        <v>15</v>
      </c>
    </row>
    <row r="26" spans="3:5">
      <c r="C26" s="3">
        <v>10</v>
      </c>
      <c r="D26" s="3">
        <v>75.276189638860103</v>
      </c>
      <c r="E26" s="3"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5D4F-5664-4987-8463-E8EAB4A492B2}">
  <dimension ref="A1:C8"/>
  <sheetViews>
    <sheetView workbookViewId="0">
      <selection activeCell="A6" sqref="A6"/>
    </sheetView>
  </sheetViews>
  <sheetFormatPr defaultRowHeight="15.6"/>
  <sheetData>
    <row r="1" spans="1:3">
      <c r="A1" s="3" t="s">
        <v>15</v>
      </c>
      <c r="B1" s="3"/>
      <c r="C1" s="3"/>
    </row>
    <row r="2" spans="1:3">
      <c r="A2" s="3" t="s">
        <v>24</v>
      </c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8" spans="1:3">
      <c r="C8">
        <f>1.1176561/10.333406</f>
        <v>0.10815950713636917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B454-F239-4ABE-A567-726BDC589938}">
  <dimension ref="C1:E22"/>
  <sheetViews>
    <sheetView workbookViewId="0">
      <selection activeCell="P21" sqref="P21"/>
    </sheetView>
  </sheetViews>
  <sheetFormatPr defaultRowHeight="15.6"/>
  <sheetData>
    <row r="1" spans="3:5">
      <c r="C1" s="5" t="s">
        <v>3</v>
      </c>
      <c r="D1" s="5" t="s">
        <v>4</v>
      </c>
      <c r="E1" s="3" t="s">
        <v>17</v>
      </c>
    </row>
    <row r="2" spans="3:5">
      <c r="C2" s="3">
        <v>0</v>
      </c>
      <c r="D2" s="3">
        <v>0</v>
      </c>
      <c r="E2" s="3">
        <v>20</v>
      </c>
    </row>
    <row r="3" spans="3:5">
      <c r="C3" s="3">
        <v>3.6160231221197501</v>
      </c>
      <c r="D3" s="11">
        <v>1.0000000000000001E-9</v>
      </c>
      <c r="E3" s="3">
        <v>20</v>
      </c>
    </row>
    <row r="4" spans="3:5">
      <c r="C4" s="3">
        <v>4.4475125207603599</v>
      </c>
      <c r="D4" s="3">
        <v>1.1001991544571701</v>
      </c>
      <c r="E4" s="3">
        <v>20</v>
      </c>
    </row>
    <row r="5" spans="3:5">
      <c r="C5" s="3">
        <v>5.0469607464950297</v>
      </c>
      <c r="D5" s="3">
        <v>1.8860492695035</v>
      </c>
      <c r="E5" s="3">
        <v>20</v>
      </c>
    </row>
    <row r="6" spans="3:5">
      <c r="C6" s="3">
        <v>5.6464089722297004</v>
      </c>
      <c r="D6" s="3">
        <v>3.1434229436661201</v>
      </c>
      <c r="E6" s="3">
        <v>20</v>
      </c>
    </row>
    <row r="7" spans="3:5">
      <c r="C7" s="3">
        <v>6.2458553538430799</v>
      </c>
      <c r="D7" s="3">
        <v>5.1866392383814501</v>
      </c>
      <c r="E7" s="3">
        <v>20</v>
      </c>
    </row>
    <row r="8" spans="3:5">
      <c r="C8" s="3">
        <v>6.8259661236234299</v>
      </c>
      <c r="D8" s="3">
        <v>8.1728876623421396</v>
      </c>
      <c r="E8" s="3">
        <v>20</v>
      </c>
    </row>
    <row r="9" spans="3:5">
      <c r="C9" s="3">
        <v>7.3093914577535104</v>
      </c>
      <c r="D9" s="3">
        <v>11.787819176137299</v>
      </c>
      <c r="E9" s="3">
        <v>20</v>
      </c>
    </row>
    <row r="10" spans="3:5">
      <c r="C10" s="3">
        <v>7.7348062681419503</v>
      </c>
      <c r="D10" s="3">
        <v>16.188608299472399</v>
      </c>
      <c r="E10" s="3">
        <v>20</v>
      </c>
    </row>
    <row r="11" spans="3:5">
      <c r="C11" s="3">
        <v>8.0441981869257901</v>
      </c>
      <c r="D11" s="3">
        <v>20.117881358184899</v>
      </c>
      <c r="E11" s="3">
        <v>20</v>
      </c>
    </row>
    <row r="12" spans="3:5">
      <c r="C12" s="3">
        <v>8.4696111531929308</v>
      </c>
      <c r="D12" s="3">
        <v>26.247545231318099</v>
      </c>
      <c r="E12" s="3">
        <v>20</v>
      </c>
    </row>
    <row r="13" spans="3:5">
      <c r="C13" s="3">
        <v>8.7209925482351291</v>
      </c>
      <c r="D13" s="3">
        <v>30.805501379864999</v>
      </c>
      <c r="E13" s="3">
        <v>20</v>
      </c>
    </row>
    <row r="14" spans="3:5">
      <c r="C14" s="3">
        <v>9.01104885518596</v>
      </c>
      <c r="D14" s="3">
        <v>35.834973593034697</v>
      </c>
      <c r="E14" s="3">
        <v>20</v>
      </c>
    </row>
    <row r="15" spans="3:5">
      <c r="C15" s="3">
        <v>9.2624302502281601</v>
      </c>
      <c r="D15" s="3">
        <v>41.178783603874699</v>
      </c>
      <c r="E15" s="3">
        <v>20</v>
      </c>
    </row>
    <row r="16" spans="3:5">
      <c r="C16" s="3">
        <v>9.4944741893160405</v>
      </c>
      <c r="D16" s="3">
        <v>46.208252069797602</v>
      </c>
      <c r="E16" s="3">
        <v>20</v>
      </c>
    </row>
    <row r="17" spans="3:5">
      <c r="C17" s="3">
        <v>9.7458555843582406</v>
      </c>
      <c r="D17" s="3">
        <v>51.709232853096303</v>
      </c>
      <c r="E17" s="3">
        <v>20</v>
      </c>
    </row>
    <row r="18" spans="3:5">
      <c r="C18" s="3">
        <v>9.9778995234461192</v>
      </c>
      <c r="D18" s="3">
        <v>57.210217383641798</v>
      </c>
      <c r="E18" s="3">
        <v>20</v>
      </c>
    </row>
    <row r="19" spans="3:5">
      <c r="C19" s="3">
        <v>10.209943462534</v>
      </c>
      <c r="D19" s="3">
        <v>62.239685849564601</v>
      </c>
      <c r="E19" s="3">
        <v>20</v>
      </c>
    </row>
    <row r="20" spans="3:5">
      <c r="C20" s="3">
        <v>10.5193353813178</v>
      </c>
      <c r="D20" s="3">
        <v>68.840862040073702</v>
      </c>
      <c r="E20" s="3">
        <v>20</v>
      </c>
    </row>
    <row r="21" spans="3:5">
      <c r="C21" s="3">
        <v>10.848064756056001</v>
      </c>
      <c r="D21" s="3">
        <v>74.970527786830303</v>
      </c>
      <c r="E21" s="3">
        <v>20</v>
      </c>
    </row>
    <row r="22" spans="3:5">
      <c r="C22" s="3">
        <v>11.2154671985815</v>
      </c>
      <c r="D22" s="3">
        <v>80</v>
      </c>
      <c r="E22" s="3">
        <v>20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F386-11F9-44E5-AAE5-E710C883E4BC}">
  <dimension ref="A1:B2"/>
  <sheetViews>
    <sheetView workbookViewId="0">
      <selection activeCell="I8" sqref="I8"/>
    </sheetView>
  </sheetViews>
  <sheetFormatPr defaultRowHeight="15.6"/>
  <sheetData>
    <row r="1" spans="1:2">
      <c r="A1" s="3" t="s">
        <v>16</v>
      </c>
      <c r="B1" s="3"/>
    </row>
    <row r="2" spans="1:2">
      <c r="A2" s="3">
        <v>9</v>
      </c>
      <c r="B2" s="3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B955-69A4-4564-840A-CEE86A7F2393}">
  <dimension ref="A1:B2"/>
  <sheetViews>
    <sheetView workbookViewId="0">
      <selection activeCell="I9" sqref="I9"/>
    </sheetView>
  </sheetViews>
  <sheetFormatPr defaultRowHeight="15.6"/>
  <sheetData>
    <row r="1" spans="1:2">
      <c r="A1" s="3" t="s">
        <v>5</v>
      </c>
      <c r="B1" s="3"/>
    </row>
    <row r="2" spans="1:2">
      <c r="A2" s="3">
        <v>3.6</v>
      </c>
      <c r="B2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0BE5-EAC5-4FF3-ADE6-EB173555E8CD}">
  <dimension ref="A1:C28"/>
  <sheetViews>
    <sheetView workbookViewId="0">
      <selection activeCell="E28" sqref="E28"/>
    </sheetView>
  </sheetViews>
  <sheetFormatPr defaultRowHeight="15.6"/>
  <sheetData>
    <row r="1" spans="1:3">
      <c r="A1" s="3" t="s">
        <v>6</v>
      </c>
      <c r="B1" s="3" t="s">
        <v>7</v>
      </c>
      <c r="C1" s="3" t="s">
        <v>8</v>
      </c>
    </row>
    <row r="2" spans="1:3">
      <c r="A2" s="3">
        <v>0</v>
      </c>
      <c r="B2" s="3">
        <v>0</v>
      </c>
      <c r="C2" s="3">
        <v>25</v>
      </c>
    </row>
    <row r="3" spans="1:3">
      <c r="A3" s="3">
        <v>0.70528899484469199</v>
      </c>
      <c r="B3" s="11">
        <v>1.0000000000000001E-9</v>
      </c>
      <c r="C3" s="3">
        <v>25</v>
      </c>
    </row>
    <row r="4" spans="1:3">
      <c r="A4" s="3">
        <v>2.0025190694324699</v>
      </c>
      <c r="B4" s="3">
        <v>1.12149432753144</v>
      </c>
      <c r="C4" s="3">
        <v>25</v>
      </c>
    </row>
    <row r="5" spans="1:3">
      <c r="A5" s="3">
        <v>2.2670027427745199</v>
      </c>
      <c r="B5" s="3">
        <v>2.99065154008384</v>
      </c>
      <c r="C5" s="3">
        <v>25</v>
      </c>
    </row>
    <row r="6" spans="1:3">
      <c r="A6" s="3">
        <v>2.4811086307705099</v>
      </c>
      <c r="B6" s="3">
        <v>6.3551478919451201</v>
      </c>
      <c r="C6" s="3">
        <v>25</v>
      </c>
    </row>
    <row r="7" spans="1:3">
      <c r="A7" s="3">
        <v>2.6826197721547098</v>
      </c>
      <c r="B7" s="3">
        <v>10.093466773472199</v>
      </c>
      <c r="C7" s="3">
        <v>25</v>
      </c>
    </row>
    <row r="8" spans="1:3">
      <c r="A8" s="3">
        <v>2.9848864842310099</v>
      </c>
      <c r="B8" s="3">
        <v>14.9532755261085</v>
      </c>
      <c r="C8" s="3">
        <v>25</v>
      </c>
    </row>
    <row r="9" spans="1:3">
      <c r="A9" s="3">
        <v>3.3501257282651502</v>
      </c>
      <c r="B9" s="3">
        <v>20.934578606276201</v>
      </c>
      <c r="C9" s="3">
        <v>25</v>
      </c>
    </row>
    <row r="10" spans="1:3">
      <c r="A10" s="3">
        <v>3.6397988948308</v>
      </c>
      <c r="B10" s="3">
        <v>25.794387358912399</v>
      </c>
      <c r="C10" s="3">
        <v>25</v>
      </c>
    </row>
    <row r="11" spans="1:3">
      <c r="A11" s="3">
        <v>4.0554159242109904</v>
      </c>
      <c r="B11" s="3">
        <v>34.392537275187401</v>
      </c>
      <c r="C11" s="3">
        <v>25</v>
      </c>
    </row>
    <row r="12" spans="1:3">
      <c r="A12" s="3">
        <v>4.4206551682451396</v>
      </c>
      <c r="B12" s="3">
        <v>42.990651540083803</v>
      </c>
      <c r="C12" s="3">
        <v>25</v>
      </c>
    </row>
    <row r="13" spans="1:3">
      <c r="A13" s="3">
        <v>4.6725440949753896</v>
      </c>
      <c r="B13" s="3">
        <v>49.719626418117102</v>
      </c>
      <c r="C13" s="3">
        <v>25</v>
      </c>
    </row>
    <row r="14" spans="1:3">
      <c r="A14" s="3">
        <v>4.9622172615410296</v>
      </c>
      <c r="B14" s="3">
        <v>57.943927066192302</v>
      </c>
      <c r="C14" s="3">
        <v>25</v>
      </c>
    </row>
    <row r="15" spans="1:3">
      <c r="A15" s="3">
        <v>5.1889166950476797</v>
      </c>
      <c r="B15" s="3">
        <v>65.046733386736094</v>
      </c>
      <c r="C15" s="3">
        <v>25</v>
      </c>
    </row>
    <row r="16" spans="1:3">
      <c r="A16" s="3">
        <v>5.4282120762672799</v>
      </c>
      <c r="B16" s="3">
        <v>72.897193679456194</v>
      </c>
      <c r="C16" s="3">
        <v>25</v>
      </c>
    </row>
    <row r="17" spans="1:3">
      <c r="A17" s="3">
        <v>5.7052892951199796</v>
      </c>
      <c r="B17" s="3">
        <v>82.616820097573395</v>
      </c>
      <c r="C17" s="3">
        <v>25</v>
      </c>
    </row>
    <row r="18" spans="1:3">
      <c r="A18" s="3">
        <v>5.9193951831159701</v>
      </c>
      <c r="B18" s="3">
        <v>90.841129658493202</v>
      </c>
      <c r="C18" s="3">
        <v>25</v>
      </c>
    </row>
    <row r="19" spans="1:3">
      <c r="A19" s="3">
        <v>6.1460946166226202</v>
      </c>
      <c r="B19" s="3">
        <v>99.439261749078895</v>
      </c>
      <c r="C19" s="3">
        <v>25</v>
      </c>
    </row>
    <row r="20" spans="1:3">
      <c r="A20" s="3">
        <v>6.3853911989433598</v>
      </c>
      <c r="B20" s="3">
        <v>109.15889708004001</v>
      </c>
      <c r="C20" s="3">
        <v>25</v>
      </c>
    </row>
    <row r="21" spans="1:3">
      <c r="A21" s="3">
        <v>6.6372801256736098</v>
      </c>
      <c r="B21" s="3">
        <v>120</v>
      </c>
      <c r="C21" s="3">
        <v>25</v>
      </c>
    </row>
    <row r="22" spans="1:3">
      <c r="A22" s="3">
        <v>6.8765743057920599</v>
      </c>
      <c r="B22" s="3">
        <v>130.467298215982</v>
      </c>
      <c r="C22" s="3">
        <v>25</v>
      </c>
    </row>
    <row r="23" spans="1:3">
      <c r="A23" s="3">
        <v>7.1410579791341098</v>
      </c>
      <c r="B23" s="3">
        <v>142.42990437631801</v>
      </c>
      <c r="C23" s="3">
        <v>25</v>
      </c>
    </row>
    <row r="24" spans="1:3">
      <c r="A24" s="3">
        <v>7.38035275980313</v>
      </c>
      <c r="B24" s="3">
        <v>154.39254618803199</v>
      </c>
      <c r="C24" s="3">
        <v>25</v>
      </c>
    </row>
    <row r="25" spans="1:3">
      <c r="A25" s="3">
        <v>7.6070527938603503</v>
      </c>
      <c r="B25" s="3">
        <v>165.607507289035</v>
      </c>
      <c r="C25" s="3">
        <v>25</v>
      </c>
    </row>
    <row r="26" spans="1:3">
      <c r="A26" s="3">
        <v>7.8085645357951199</v>
      </c>
      <c r="B26" s="3">
        <v>175.70094732397399</v>
      </c>
      <c r="C26" s="3">
        <v>25</v>
      </c>
    </row>
    <row r="27" spans="1:3">
      <c r="A27" s="3">
        <v>8.0100756771793193</v>
      </c>
      <c r="B27" s="3">
        <v>186.54206806962199</v>
      </c>
      <c r="C27" s="3">
        <v>25</v>
      </c>
    </row>
    <row r="28" spans="1:3">
      <c r="A28" s="3">
        <v>8.2619646039095702</v>
      </c>
      <c r="B28" s="3">
        <v>200</v>
      </c>
      <c r="C28" s="3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2F6C-5A04-40CC-9B67-BFB76D45DE88}">
  <dimension ref="A1:T9"/>
  <sheetViews>
    <sheetView workbookViewId="0">
      <selection activeCell="K7" sqref="K7"/>
    </sheetView>
  </sheetViews>
  <sheetFormatPr defaultRowHeight="15.6"/>
  <sheetData>
    <row r="1" spans="1:20" ht="15.9" thickBot="1">
      <c r="A1" s="9" t="s">
        <v>18</v>
      </c>
      <c r="B1" s="10" t="s">
        <v>19</v>
      </c>
    </row>
    <row r="2" spans="1:20">
      <c r="A2">
        <v>0</v>
      </c>
      <c r="B2">
        <v>527.100665551867</v>
      </c>
    </row>
    <row r="3" spans="1:20">
      <c r="A3">
        <v>38.1471667557974</v>
      </c>
      <c r="B3">
        <v>490.15722529958902</v>
      </c>
    </row>
    <row r="4" spans="1:20">
      <c r="A4">
        <v>158.03825299341901</v>
      </c>
      <c r="B4">
        <v>490.15722529958902</v>
      </c>
    </row>
    <row r="5" spans="1:20">
      <c r="A5">
        <v>294.278032177542</v>
      </c>
      <c r="B5">
        <v>490.15722529958902</v>
      </c>
    </row>
    <row r="6" spans="1:20">
      <c r="A6">
        <v>449.59129729327998</v>
      </c>
      <c r="B6">
        <v>490.15722529958902</v>
      </c>
    </row>
    <row r="7" spans="1:20">
      <c r="A7">
        <v>600.81740541343902</v>
      </c>
      <c r="B7">
        <v>490.15722529958902</v>
      </c>
    </row>
    <row r="8" spans="1:20">
      <c r="A8">
        <v>801.08991719404503</v>
      </c>
      <c r="B8">
        <v>490.15722529958902</v>
      </c>
      <c r="T8" t="s">
        <v>9</v>
      </c>
    </row>
    <row r="9" spans="1:20">
      <c r="A9">
        <v>1000</v>
      </c>
      <c r="B9">
        <v>490.15722529958902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F70D-466C-41AA-96CD-A0D6B27B48BE}">
  <dimension ref="A1:B15"/>
  <sheetViews>
    <sheetView workbookViewId="0">
      <selection activeCell="C1" sqref="A1:C1"/>
    </sheetView>
  </sheetViews>
  <sheetFormatPr defaultRowHeight="15.6"/>
  <sheetData>
    <row r="1" spans="1:2" ht="15.9" thickBot="1">
      <c r="A1" s="9" t="s">
        <v>18</v>
      </c>
      <c r="B1" s="10" t="s">
        <v>20</v>
      </c>
    </row>
    <row r="2" spans="1:2">
      <c r="A2">
        <v>0</v>
      </c>
      <c r="B2">
        <v>347.08366058368199</v>
      </c>
    </row>
    <row r="3" spans="1:2">
      <c r="A3">
        <v>9.5368079299966304</v>
      </c>
      <c r="B3">
        <v>220.391838507606</v>
      </c>
    </row>
    <row r="4" spans="1:2">
      <c r="A4">
        <v>12.261600915111501</v>
      </c>
      <c r="B4">
        <v>164.80208306981601</v>
      </c>
    </row>
    <row r="5" spans="1:2">
      <c r="A5">
        <v>32.697515821378502</v>
      </c>
      <c r="B5">
        <v>102.76246102514899</v>
      </c>
    </row>
    <row r="6" spans="1:2">
      <c r="A6">
        <v>81.743854517635597</v>
      </c>
      <c r="B6">
        <v>68.907205874256505</v>
      </c>
    </row>
    <row r="7" spans="1:2">
      <c r="A7">
        <v>155.313330079926</v>
      </c>
      <c r="B7">
        <v>53.433142770944599</v>
      </c>
    </row>
    <row r="8" spans="1:2">
      <c r="A8">
        <v>256.13080045755498</v>
      </c>
      <c r="B8">
        <v>43.754827765474701</v>
      </c>
    </row>
    <row r="9" spans="1:2">
      <c r="A9">
        <v>347.41146290518799</v>
      </c>
      <c r="B9">
        <v>39.9556404050794</v>
      </c>
    </row>
    <row r="10" spans="1:2">
      <c r="A10">
        <v>427.79295341236002</v>
      </c>
      <c r="B10">
        <v>37.155196627619098</v>
      </c>
    </row>
    <row r="11" spans="1:2">
      <c r="A11">
        <v>539.50953076626001</v>
      </c>
      <c r="B11">
        <v>33.929077942545902</v>
      </c>
    </row>
    <row r="12" spans="1:2">
      <c r="A12">
        <v>613.07900632855103</v>
      </c>
      <c r="B12">
        <v>32.718469457691903</v>
      </c>
    </row>
    <row r="13" spans="1:2">
      <c r="A13">
        <v>735.69475562290995</v>
      </c>
      <c r="B13">
        <v>32.129474965838298</v>
      </c>
    </row>
    <row r="14" spans="1:2">
      <c r="A14">
        <v>852.86104887541796</v>
      </c>
      <c r="B14">
        <v>32.129474965838298</v>
      </c>
    </row>
    <row r="15" spans="1:2">
      <c r="A15">
        <v>1000</v>
      </c>
      <c r="B15">
        <v>32.129474965838298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AF0B-5A22-4701-A254-D4A0198053AD}">
  <dimension ref="A1:B18"/>
  <sheetViews>
    <sheetView workbookViewId="0">
      <selection activeCell="S21" sqref="S21"/>
    </sheetView>
  </sheetViews>
  <sheetFormatPr defaultRowHeight="15.6"/>
  <sheetData>
    <row r="1" spans="1:2" ht="15.9" thickBot="1">
      <c r="A1" s="9" t="s">
        <v>18</v>
      </c>
      <c r="B1" s="10" t="s">
        <v>21</v>
      </c>
    </row>
    <row r="2" spans="1:2">
      <c r="A2">
        <v>0</v>
      </c>
      <c r="B2">
        <v>90.491486827491997</v>
      </c>
    </row>
    <row r="3" spans="1:2">
      <c r="A3">
        <v>5.4495859702297098</v>
      </c>
      <c r="B3">
        <v>58.513789542054397</v>
      </c>
    </row>
    <row r="4" spans="1:2">
      <c r="A4">
        <v>9.5368079299966304</v>
      </c>
      <c r="B4">
        <v>30.425296823787701</v>
      </c>
    </row>
    <row r="5" spans="1:2">
      <c r="A5">
        <v>9.5368079299966304</v>
      </c>
      <c r="B5">
        <v>17.324428974425899</v>
      </c>
    </row>
    <row r="6" spans="1:2">
      <c r="A6">
        <v>12.261600915111501</v>
      </c>
      <c r="B6">
        <v>9.3414405190168495</v>
      </c>
    </row>
    <row r="7" spans="1:2">
      <c r="A7">
        <v>21.798473809297299</v>
      </c>
      <c r="B7">
        <v>5.3191021903847204</v>
      </c>
    </row>
    <row r="8" spans="1:2">
      <c r="A8">
        <v>44.959116736490103</v>
      </c>
      <c r="B8">
        <v>3.0287431093518902</v>
      </c>
    </row>
    <row r="9" spans="1:2">
      <c r="A9">
        <v>99.455041402976903</v>
      </c>
      <c r="B9">
        <v>2.1839885749842098</v>
      </c>
    </row>
    <row r="10" spans="1:2">
      <c r="A10">
        <v>158.03825299341901</v>
      </c>
      <c r="B10">
        <v>1.8545762756895201</v>
      </c>
    </row>
    <row r="11" spans="1:2">
      <c r="A11">
        <v>238.41961357221399</v>
      </c>
      <c r="B11">
        <v>1.5464978143114101</v>
      </c>
    </row>
    <row r="12" spans="1:2">
      <c r="A12">
        <v>320.16353305403902</v>
      </c>
      <c r="B12">
        <v>1.4122169760801799</v>
      </c>
    </row>
    <row r="13" spans="1:2">
      <c r="A13">
        <v>431.88011040793799</v>
      </c>
      <c r="B13">
        <v>1.26637934369461</v>
      </c>
    </row>
    <row r="14" spans="1:2">
      <c r="A14">
        <v>520.43591490626704</v>
      </c>
      <c r="B14">
        <v>1.19921144733242</v>
      </c>
    </row>
    <row r="15" spans="1:2">
      <c r="A15">
        <v>600.81740541343902</v>
      </c>
      <c r="B15">
        <v>1.15642090843763</v>
      </c>
    </row>
    <row r="16" spans="1:2">
      <c r="A16">
        <v>700.27251178060601</v>
      </c>
      <c r="B16">
        <v>1.15642090843763</v>
      </c>
    </row>
    <row r="17" spans="1:2">
      <c r="A17">
        <v>856.94820587099503</v>
      </c>
      <c r="B17">
        <v>1.15642090843763</v>
      </c>
    </row>
    <row r="18" spans="1:2">
      <c r="A18">
        <v>1000</v>
      </c>
      <c r="B18">
        <v>1.15642090843763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205F-ED14-4BDB-8F69-88E68F14A921}">
  <dimension ref="A1:A2"/>
  <sheetViews>
    <sheetView workbookViewId="0">
      <selection activeCell="H30" sqref="H30"/>
    </sheetView>
  </sheetViews>
  <sheetFormatPr defaultRowHeight="15.6"/>
  <sheetData>
    <row r="1" spans="1:1">
      <c r="A1" t="s">
        <v>22</v>
      </c>
    </row>
    <row r="2" spans="1:1">
      <c r="A2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89C3-1A58-4646-A928-670826BB03AB}">
  <dimension ref="A1:A2"/>
  <sheetViews>
    <sheetView workbookViewId="0">
      <selection activeCell="A3" sqref="A3"/>
    </sheetView>
  </sheetViews>
  <sheetFormatPr defaultRowHeight="15.6"/>
  <sheetData>
    <row r="1" spans="1:1">
      <c r="A1" t="s">
        <v>23</v>
      </c>
    </row>
    <row r="2" spans="1:1">
      <c r="A2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22A6-7036-4435-95B1-0FDEEF645141}">
  <dimension ref="A1:A2"/>
  <sheetViews>
    <sheetView tabSelected="1" workbookViewId="0"/>
  </sheetViews>
  <sheetFormatPr defaultRowHeight="15.6"/>
  <sheetData>
    <row r="1" spans="1:1">
      <c r="A1" s="3" t="s">
        <v>25</v>
      </c>
    </row>
    <row r="2" spans="1:1">
      <c r="A2" s="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Output</vt:lpstr>
      <vt:lpstr>Rds(on)</vt:lpstr>
      <vt:lpstr>Transfer</vt:lpstr>
      <vt:lpstr>Rg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2025-07-24T06:21:38Z</dcterms:created>
  <dcterms:modified xsi:type="dcterms:W3CDTF">2026-02-10T02:55:08Z</dcterms:modified>
</cp:coreProperties>
</file>