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UF3SC120009K4S\"/>
    </mc:Choice>
  </mc:AlternateContent>
  <xr:revisionPtr revIDLastSave="0" documentId="13_ncr:1_{57D6A999-E1EE-42F1-A0DF-1D835A30731A}" xr6:coauthVersionLast="47" xr6:coauthVersionMax="47" xr10:uidLastSave="{00000000-0000-0000-0000-000000000000}"/>
  <bookViews>
    <workbookView xWindow="-96" yWindow="-96" windowWidth="23232" windowHeight="13872" firstSheet="1" activeTab="10" xr2:uid="{FB0E1817-7110-4316-87E1-4AF267C658A0}"/>
  </bookViews>
  <sheets>
    <sheet name="Capacitance" sheetId="1" r:id="rId1"/>
    <sheet name="Rds(on)" sheetId="2" r:id="rId2"/>
    <sheet name="Output" sheetId="3" r:id="rId3"/>
    <sheet name="Rg" sheetId="4" r:id="rId4"/>
    <sheet name="Transfer" sheetId="5" r:id="rId5"/>
    <sheet name="VTH" sheetId="6" r:id="rId6"/>
    <sheet name="body diode" sheetId="7" r:id="rId7"/>
    <sheet name="Ciss" sheetId="8" r:id="rId8"/>
    <sheet name="Coss" sheetId="9" r:id="rId9"/>
    <sheet name="Crss" sheetId="10" r:id="rId10"/>
    <sheet name="Eon" sheetId="12" r:id="rId11"/>
    <sheet name="Eoff" sheetId="11" r:id="rId12"/>
    <sheet name="ID_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<sst xmlns="http://schemas.openxmlformats.org/spreadsheetml/2006/main" count="69" uniqueCount="28">
  <si>
    <t>Ciss</t>
    <phoneticPr fontId="1" type="noConversion"/>
  </si>
  <si>
    <t>Coss</t>
    <phoneticPr fontId="1" type="noConversion"/>
  </si>
  <si>
    <t>Crss</t>
    <phoneticPr fontId="1" type="noConversion"/>
  </si>
  <si>
    <t>8512pF</t>
    <phoneticPr fontId="1" type="noConversion"/>
  </si>
  <si>
    <t>755pF</t>
    <phoneticPr fontId="1" type="noConversion"/>
  </si>
  <si>
    <t>9pF</t>
    <phoneticPr fontId="1" type="noConversion"/>
  </si>
  <si>
    <t>Rds(on)</t>
  </si>
  <si>
    <t>Vgs</t>
    <phoneticPr fontId="1" type="noConversion"/>
  </si>
  <si>
    <t>15V</t>
    <phoneticPr fontId="1" type="noConversion"/>
  </si>
  <si>
    <t>Rg</t>
    <phoneticPr fontId="1" type="noConversion"/>
  </si>
  <si>
    <t>Vds</t>
    <phoneticPr fontId="1" type="noConversion"/>
  </si>
  <si>
    <t>5V</t>
    <phoneticPr fontId="1" type="noConversion"/>
  </si>
  <si>
    <t>VTH</t>
  </si>
  <si>
    <t>6V</t>
    <phoneticPr fontId="1" type="noConversion"/>
  </si>
  <si>
    <t>Vsd</t>
    <phoneticPr fontId="1" type="noConversion"/>
  </si>
  <si>
    <t>Isd</t>
    <phoneticPr fontId="1" type="noConversion"/>
  </si>
  <si>
    <t>Tj</t>
    <phoneticPr fontId="1" type="noConversion"/>
  </si>
  <si>
    <t>Vds_V</t>
  </si>
  <si>
    <t>Ciss_pF</t>
  </si>
  <si>
    <t>Coss_pF</t>
    <phoneticPr fontId="1" type="noConversion"/>
  </si>
  <si>
    <t>Crss_pF</t>
    <phoneticPr fontId="1" type="noConversion"/>
  </si>
  <si>
    <t xml:space="preserve">Ids </t>
    <phoneticPr fontId="1" type="noConversion"/>
  </si>
  <si>
    <t xml:space="preserve">Vds </t>
    <phoneticPr fontId="1" type="noConversion"/>
  </si>
  <si>
    <t>Ids</t>
    <phoneticPr fontId="1" type="noConversion"/>
  </si>
  <si>
    <t>8.6m</t>
  </si>
  <si>
    <t>Eoff</t>
  </si>
  <si>
    <t>Eon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</si>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</sst>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一般 2" xfId="1" xr:uid="{998CFCB8-E81F-4BC9-A0E3-2F45F164D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Output!$A$2:$A$21</c:f>
              <c:numCache>
                <c:formatCode>General</c:formatCode>
                <c:ptCount val="20"/>
                <c:pt idx="0">
                  <c:v>0</c:v>
                </c:pt>
                <c:pt idx="1">
                  <c:v>0.10929005916823201</c:v>
                </c:pt>
                <c:pt idx="2">
                  <c:v>0.27322486129722401</c:v>
                </c:pt>
                <c:pt idx="3">
                  <c:v>0.35519168911500698</c:v>
                </c:pt>
                <c:pt idx="4">
                  <c:v>0.47814279071175098</c:v>
                </c:pt>
                <c:pt idx="5">
                  <c:v>0.61475493473700804</c:v>
                </c:pt>
                <c:pt idx="6">
                  <c:v>0.77868859037257299</c:v>
                </c:pt>
                <c:pt idx="7">
                  <c:v>0.88797922278751895</c:v>
                </c:pt>
                <c:pt idx="8">
                  <c:v>1.01092917789083</c:v>
                </c:pt>
                <c:pt idx="9">
                  <c:v>1.1338797062408601</c:v>
                </c:pt>
                <c:pt idx="10">
                  <c:v>1.2704912770194099</c:v>
                </c:pt>
                <c:pt idx="11">
                  <c:v>1.3934423786161501</c:v>
                </c:pt>
                <c:pt idx="12">
                  <c:v>1.5300550958881201</c:v>
                </c:pt>
                <c:pt idx="13">
                  <c:v>1.6803282823418899</c:v>
                </c:pt>
                <c:pt idx="14">
                  <c:v>1.8169398531204299</c:v>
                </c:pt>
                <c:pt idx="15">
                  <c:v>1.95355142389897</c:v>
                </c:pt>
                <c:pt idx="16">
                  <c:v>2.0765025254957199</c:v>
                </c:pt>
                <c:pt idx="17">
                  <c:v>2.26775941248173</c:v>
                </c:pt>
                <c:pt idx="18">
                  <c:v>2.4863383843247702</c:v>
                </c:pt>
                <c:pt idx="19">
                  <c:v>2.7868847572323099</c:v>
                </c:pt>
              </c:numCache>
            </c:numRef>
          </c:xVal>
          <c:yVal>
            <c:numRef>
              <c:f>Output!$B$2:$B$21</c:f>
              <c:numCache>
                <c:formatCode>General</c:formatCode>
                <c:ptCount val="20"/>
                <c:pt idx="0">
                  <c:v>0</c:v>
                </c:pt>
                <c:pt idx="1">
                  <c:v>16.071443401630798</c:v>
                </c:pt>
                <c:pt idx="2">
                  <c:v>33.3333492909778</c:v>
                </c:pt>
                <c:pt idx="3">
                  <c:v>43.4523553681138</c:v>
                </c:pt>
                <c:pt idx="4">
                  <c:v>60.1190549907856</c:v>
                </c:pt>
                <c:pt idx="5">
                  <c:v>75.595217194192699</c:v>
                </c:pt>
                <c:pt idx="6">
                  <c:v>94.047635525621601</c:v>
                </c:pt>
                <c:pt idx="7">
                  <c:v>107.142872753596</c:v>
                </c:pt>
                <c:pt idx="8">
                  <c:v>120.238109981571</c:v>
                </c:pt>
                <c:pt idx="9">
                  <c:v>134.52380969726201</c:v>
                </c:pt>
                <c:pt idx="10">
                  <c:v>149.404765633994</c:v>
                </c:pt>
                <c:pt idx="11">
                  <c:v>163.09523410582599</c:v>
                </c:pt>
                <c:pt idx="12">
                  <c:v>178.57143377500799</c:v>
                </c:pt>
                <c:pt idx="13">
                  <c:v>194.04762095559801</c:v>
                </c:pt>
                <c:pt idx="14">
                  <c:v>207.73807693883899</c:v>
                </c:pt>
                <c:pt idx="15">
                  <c:v>220.83333914399699</c:v>
                </c:pt>
                <c:pt idx="16">
                  <c:v>234.523795127238</c:v>
                </c:pt>
                <c:pt idx="17">
                  <c:v>252.38093226044299</c:v>
                </c:pt>
                <c:pt idx="18">
                  <c:v>275.00000052035801</c:v>
                </c:pt>
                <c:pt idx="1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62-4E71-B48F-70C0AA53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925024"/>
        <c:axId val="428926688"/>
      </c:scatterChart>
      <c:valAx>
        <c:axId val="428925024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8926688"/>
        <c:crosses val="autoZero"/>
        <c:crossBetween val="midCat"/>
        <c:majorUnit val="1"/>
      </c:valAx>
      <c:valAx>
        <c:axId val="428926688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89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Transfer!$A$2:$A$21</c:f>
              <c:numCache>
                <c:formatCode>General</c:formatCode>
                <c:ptCount val="20"/>
                <c:pt idx="0">
                  <c:v>0</c:v>
                </c:pt>
                <c:pt idx="1">
                  <c:v>4.8132778324981897</c:v>
                </c:pt>
                <c:pt idx="2">
                  <c:v>5.0899033088255097</c:v>
                </c:pt>
                <c:pt idx="3">
                  <c:v>5.3388654249843404</c:v>
                </c:pt>
                <c:pt idx="4">
                  <c:v>5.6154909013116603</c:v>
                </c:pt>
                <c:pt idx="5">
                  <c:v>5.7676347391768896</c:v>
                </c:pt>
                <c:pt idx="6">
                  <c:v>5.9059468969578699</c:v>
                </c:pt>
                <c:pt idx="7">
                  <c:v>6.0165968553357203</c:v>
                </c:pt>
                <c:pt idx="8">
                  <c:v>6.0995846143104497</c:v>
                </c:pt>
                <c:pt idx="9">
                  <c:v>6.1825723732851898</c:v>
                </c:pt>
                <c:pt idx="10">
                  <c:v>6.2655601322599201</c:v>
                </c:pt>
                <c:pt idx="11">
                  <c:v>6.3485478912346602</c:v>
                </c:pt>
                <c:pt idx="12">
                  <c:v>6.4177039701251397</c:v>
                </c:pt>
                <c:pt idx="13">
                  <c:v>6.4591978496125098</c:v>
                </c:pt>
                <c:pt idx="14">
                  <c:v>6.5421844478218798</c:v>
                </c:pt>
                <c:pt idx="15">
                  <c:v>6.6113416874777302</c:v>
                </c:pt>
                <c:pt idx="16">
                  <c:v>6.6666660862839802</c:v>
                </c:pt>
                <c:pt idx="17">
                  <c:v>6.7081599657713404</c:v>
                </c:pt>
                <c:pt idx="18">
                  <c:v>6.7773160446618403</c:v>
                </c:pt>
                <c:pt idx="19">
                  <c:v>6.8326416042334497</c:v>
                </c:pt>
              </c:numCache>
            </c:numRef>
          </c:xVal>
          <c:yVal>
            <c:numRef>
              <c:f>Transfer!$B$2:$B$21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2.5050023418437499</c:v>
                </c:pt>
                <c:pt idx="4" formatCode="General">
                  <c:v>10.020030390255499</c:v>
                </c:pt>
                <c:pt idx="5" formatCode="General">
                  <c:v>20.040081803391399</c:v>
                </c:pt>
                <c:pt idx="6" formatCode="General">
                  <c:v>35.070137900214903</c:v>
                </c:pt>
                <c:pt idx="7" formatCode="General">
                  <c:v>49.599176710365299</c:v>
                </c:pt>
                <c:pt idx="8" formatCode="General">
                  <c:v>66.132263644327693</c:v>
                </c:pt>
                <c:pt idx="9" formatCode="General">
                  <c:v>82.665308532529096</c:v>
                </c:pt>
                <c:pt idx="10" formatCode="General">
                  <c:v>100.701405280749</c:v>
                </c:pt>
                <c:pt idx="11" formatCode="General">
                  <c:v>120.24046979746799</c:v>
                </c:pt>
                <c:pt idx="12" formatCode="General">
                  <c:v>138.27655603424799</c:v>
                </c:pt>
                <c:pt idx="13" formatCode="General">
                  <c:v>150.300581991115</c:v>
                </c:pt>
                <c:pt idx="14" formatCode="General">
                  <c:v>169.33868177836101</c:v>
                </c:pt>
                <c:pt idx="15" formatCode="General">
                  <c:v>189.87975984554501</c:v>
                </c:pt>
                <c:pt idx="16" formatCode="General">
                  <c:v>204.90982645380899</c:v>
                </c:pt>
                <c:pt idx="17" formatCode="General">
                  <c:v>216.43285614688301</c:v>
                </c:pt>
                <c:pt idx="18" formatCode="General">
                  <c:v>234.46893187222301</c:v>
                </c:pt>
                <c:pt idx="19" formatCode="General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C-484D-8189-5B90128FE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70352"/>
        <c:axId val="441769936"/>
      </c:scatterChart>
      <c:valAx>
        <c:axId val="44177035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1769936"/>
        <c:crosses val="autoZero"/>
        <c:crossBetween val="midCat"/>
        <c:majorUnit val="1"/>
      </c:valAx>
      <c:valAx>
        <c:axId val="44176993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177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diode'!$A$2:$A$21</c:f>
              <c:numCache>
                <c:formatCode>General</c:formatCode>
                <c:ptCount val="20"/>
                <c:pt idx="0">
                  <c:v>0</c:v>
                </c:pt>
                <c:pt idx="1">
                  <c:v>0.15182454852000199</c:v>
                </c:pt>
                <c:pt idx="2">
                  <c:v>0.38540145556148903</c:v>
                </c:pt>
                <c:pt idx="3">
                  <c:v>0.56642348500914796</c:v>
                </c:pt>
                <c:pt idx="4">
                  <c:v>0.71240843933095999</c:v>
                </c:pt>
                <c:pt idx="5">
                  <c:v>0.82335778871680698</c:v>
                </c:pt>
                <c:pt idx="6">
                  <c:v>0.92262745964298098</c:v>
                </c:pt>
                <c:pt idx="7">
                  <c:v>1.0102189222993601</c:v>
                </c:pt>
                <c:pt idx="8">
                  <c:v>1.09780989489244</c:v>
                </c:pt>
                <c:pt idx="9">
                  <c:v>1.1912409517470199</c:v>
                </c:pt>
                <c:pt idx="10">
                  <c:v>1.2788319243401001</c:v>
                </c:pt>
                <c:pt idx="11">
                  <c:v>1.3722624911313801</c:v>
                </c:pt>
                <c:pt idx="12">
                  <c:v>1.45985395378776</c:v>
                </c:pt>
                <c:pt idx="13">
                  <c:v>1.5941606998397799</c:v>
                </c:pt>
                <c:pt idx="14">
                  <c:v>1.6759125682979701</c:v>
                </c:pt>
                <c:pt idx="15">
                  <c:v>1.79854012595361</c:v>
                </c:pt>
                <c:pt idx="16">
                  <c:v>1.89781028694308</c:v>
                </c:pt>
                <c:pt idx="17">
                  <c:v>1.9795616653379799</c:v>
                </c:pt>
                <c:pt idx="18">
                  <c:v>2.14306540225436</c:v>
                </c:pt>
                <c:pt idx="19">
                  <c:v>2.3766423092958502</c:v>
                </c:pt>
              </c:numCache>
            </c:numRef>
          </c:xVal>
          <c:yVal>
            <c:numRef>
              <c:f>'body diode'!$B$2:$B$21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9.9999999999999998E-13</c:v>
                </c:pt>
                <c:pt idx="2">
                  <c:v>1.0000000000000001E-9</c:v>
                </c:pt>
                <c:pt idx="3">
                  <c:v>2.0000000000000001E-9</c:v>
                </c:pt>
                <c:pt idx="4" formatCode="General">
                  <c:v>1.69492252459986</c:v>
                </c:pt>
                <c:pt idx="5" formatCode="General">
                  <c:v>9.3220338794699504</c:v>
                </c:pt>
                <c:pt idx="6" formatCode="General">
                  <c:v>19.491529021239799</c:v>
                </c:pt>
                <c:pt idx="7" formatCode="General">
                  <c:v>28.389847827382301</c:v>
                </c:pt>
                <c:pt idx="8" formatCode="General">
                  <c:v>39.406777560899201</c:v>
                </c:pt>
                <c:pt idx="9" formatCode="General">
                  <c:v>50.000001111273001</c:v>
                </c:pt>
                <c:pt idx="10" formatCode="General">
                  <c:v>60.593224661646801</c:v>
                </c:pt>
                <c:pt idx="11" formatCode="General">
                  <c:v>72.033905029228293</c:v>
                </c:pt>
                <c:pt idx="12" formatCode="General">
                  <c:v>82.627119689417796</c:v>
                </c:pt>
                <c:pt idx="13" formatCode="General">
                  <c:v>100.000006667638</c:v>
                </c:pt>
                <c:pt idx="14" formatCode="General">
                  <c:v>110.593230218012</c:v>
                </c:pt>
                <c:pt idx="15" formatCode="General">
                  <c:v>126.69491863514401</c:v>
                </c:pt>
                <c:pt idx="16" formatCode="General">
                  <c:v>138.98305581993301</c:v>
                </c:pt>
                <c:pt idx="17" formatCode="General">
                  <c:v>148.728813662915</c:v>
                </c:pt>
                <c:pt idx="18" formatCode="General">
                  <c:v>169.91526076366199</c:v>
                </c:pt>
                <c:pt idx="19" formatCode="General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9-478E-9EBD-218FE074E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633248"/>
        <c:axId val="383629088"/>
      </c:scatterChart>
      <c:valAx>
        <c:axId val="38363324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3629088"/>
        <c:crosses val="autoZero"/>
        <c:crossBetween val="midCat"/>
        <c:majorUnit val="1"/>
      </c:valAx>
      <c:valAx>
        <c:axId val="38362908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363324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Ciss!$A$2:$A$21</c:f>
              <c:numCache>
                <c:formatCode>General</c:formatCode>
                <c:ptCount val="20"/>
                <c:pt idx="0">
                  <c:v>1.7191780706623701</c:v>
                </c:pt>
                <c:pt idx="1">
                  <c:v>12.034390775454</c:v>
                </c:pt>
                <c:pt idx="2">
                  <c:v>49.856813312887098</c:v>
                </c:pt>
                <c:pt idx="3">
                  <c:v>97.994232133886698</c:v>
                </c:pt>
                <c:pt idx="4">
                  <c:v>144.412689305448</c:v>
                </c:pt>
                <c:pt idx="5">
                  <c:v>201.146214900986</c:v>
                </c:pt>
                <c:pt idx="6">
                  <c:v>285.38687818875599</c:v>
                </c:pt>
                <c:pt idx="7">
                  <c:v>347.27801013668898</c:v>
                </c:pt>
                <c:pt idx="8">
                  <c:v>397.13467916875902</c:v>
                </c:pt>
                <c:pt idx="9">
                  <c:v>471.06027403255399</c:v>
                </c:pt>
                <c:pt idx="10">
                  <c:v>539.828262543954</c:v>
                </c:pt>
                <c:pt idx="11">
                  <c:v>629.22638790330302</c:v>
                </c:pt>
                <c:pt idx="12">
                  <c:v>720.34390775454006</c:v>
                </c:pt>
                <c:pt idx="13">
                  <c:v>799.42696468991505</c:v>
                </c:pt>
                <c:pt idx="14">
                  <c:v>880.22927183636</c:v>
                </c:pt>
                <c:pt idx="15">
                  <c:v>966.18918533520105</c:v>
                </c:pt>
                <c:pt idx="16">
                  <c:v>1034.95702956578</c:v>
                </c:pt>
                <c:pt idx="17">
                  <c:v>1100.2866619358499</c:v>
                </c:pt>
                <c:pt idx="18">
                  <c:v>1144.98601317716</c:v>
                </c:pt>
                <c:pt idx="19">
                  <c:v>1200</c:v>
                </c:pt>
              </c:numCache>
            </c:numRef>
          </c:xVal>
          <c:yVal>
            <c:numRef>
              <c:f>Ciss!$B$2:$B$21</c:f>
              <c:numCache>
                <c:formatCode>General</c:formatCode>
                <c:ptCount val="20"/>
                <c:pt idx="0">
                  <c:v>11183.6351379712</c:v>
                </c:pt>
                <c:pt idx="1">
                  <c:v>8858.6698419290697</c:v>
                </c:pt>
                <c:pt idx="2">
                  <c:v>8858.6698419290697</c:v>
                </c:pt>
                <c:pt idx="3">
                  <c:v>8858.6698419290697</c:v>
                </c:pt>
                <c:pt idx="4">
                  <c:v>8858.6698419290697</c:v>
                </c:pt>
                <c:pt idx="5">
                  <c:v>8858.6698419290697</c:v>
                </c:pt>
                <c:pt idx="6">
                  <c:v>8858.6698419290697</c:v>
                </c:pt>
                <c:pt idx="7">
                  <c:v>8858.6698419290697</c:v>
                </c:pt>
                <c:pt idx="8">
                  <c:v>8858.6698419290697</c:v>
                </c:pt>
                <c:pt idx="9">
                  <c:v>8858.6698419290697</c:v>
                </c:pt>
                <c:pt idx="10">
                  <c:v>8858.6698419290697</c:v>
                </c:pt>
                <c:pt idx="11">
                  <c:v>8858.6698419290697</c:v>
                </c:pt>
                <c:pt idx="12">
                  <c:v>8858.6698419290697</c:v>
                </c:pt>
                <c:pt idx="13">
                  <c:v>8858.6698419290697</c:v>
                </c:pt>
                <c:pt idx="14">
                  <c:v>9067.5434414506599</c:v>
                </c:pt>
                <c:pt idx="15">
                  <c:v>8858.6698419290697</c:v>
                </c:pt>
                <c:pt idx="16">
                  <c:v>8858.6698419290697</c:v>
                </c:pt>
                <c:pt idx="17">
                  <c:v>8858.6698419290697</c:v>
                </c:pt>
                <c:pt idx="18">
                  <c:v>8858.6698419290697</c:v>
                </c:pt>
                <c:pt idx="19">
                  <c:v>8858.6698419290697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9-4634-876F-10759DD96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027728"/>
        <c:axId val="2081033552"/>
      </c:scatterChart>
      <c:valAx>
        <c:axId val="2081027728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1033552"/>
        <c:crosses val="autoZero"/>
        <c:crossBetween val="midCat"/>
      </c:valAx>
      <c:valAx>
        <c:axId val="20810335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102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Coss!$A$2:$A$25</c:f>
              <c:numCache>
                <c:formatCode>General</c:formatCode>
                <c:ptCount val="24"/>
                <c:pt idx="0">
                  <c:v>1.7191780706623701</c:v>
                </c:pt>
                <c:pt idx="1">
                  <c:v>3.4384282817332399</c:v>
                </c:pt>
                <c:pt idx="2">
                  <c:v>6.8769287038748397</c:v>
                </c:pt>
                <c:pt idx="3">
                  <c:v>6.8769287038748397</c:v>
                </c:pt>
                <c:pt idx="4">
                  <c:v>8.5959624937206502</c:v>
                </c:pt>
                <c:pt idx="5">
                  <c:v>13.7535688461164</c:v>
                </c:pt>
                <c:pt idx="6">
                  <c:v>18.911175198512101</c:v>
                </c:pt>
                <c:pt idx="7">
                  <c:v>49.856813312887098</c:v>
                </c:pt>
                <c:pt idx="8">
                  <c:v>99.713482344957498</c:v>
                </c:pt>
                <c:pt idx="9">
                  <c:v>147.85104544677301</c:v>
                </c:pt>
                <c:pt idx="10">
                  <c:v>197.707714478844</c:v>
                </c:pt>
                <c:pt idx="11">
                  <c:v>244.126027369589</c:v>
                </c:pt>
                <c:pt idx="12">
                  <c:v>297.42119682380098</c:v>
                </c:pt>
                <c:pt idx="13">
                  <c:v>347.27801013668898</c:v>
                </c:pt>
                <c:pt idx="14">
                  <c:v>397.13467916875902</c:v>
                </c:pt>
                <c:pt idx="15">
                  <c:v>448.710598411901</c:v>
                </c:pt>
                <c:pt idx="16">
                  <c:v>500.28651765504202</c:v>
                </c:pt>
                <c:pt idx="17">
                  <c:v>572.49286230776602</c:v>
                </c:pt>
                <c:pt idx="18">
                  <c:v>663.61038215900305</c:v>
                </c:pt>
                <c:pt idx="19">
                  <c:v>758.16625815156499</c:v>
                </c:pt>
                <c:pt idx="20">
                  <c:v>881.94852204743097</c:v>
                </c:pt>
                <c:pt idx="21">
                  <c:v>976.504398039992</c:v>
                </c:pt>
                <c:pt idx="22">
                  <c:v>1072.7793799628</c:v>
                </c:pt>
                <c:pt idx="23">
                  <c:v>1200</c:v>
                </c:pt>
              </c:numCache>
            </c:numRef>
          </c:xVal>
          <c:yVal>
            <c:numRef>
              <c:f>Coss!$B$2:$B$25</c:f>
              <c:numCache>
                <c:formatCode>General</c:formatCode>
                <c:ptCount val="24"/>
                <c:pt idx="0">
                  <c:v>54555.954129727499</c:v>
                </c:pt>
                <c:pt idx="1">
                  <c:v>35863.765834004298</c:v>
                </c:pt>
                <c:pt idx="2">
                  <c:v>23575.978731786799</c:v>
                </c:pt>
                <c:pt idx="3">
                  <c:v>12565.805495729001</c:v>
                </c:pt>
                <c:pt idx="4">
                  <c:v>6697.4724380627304</c:v>
                </c:pt>
                <c:pt idx="5">
                  <c:v>3177.0526081170101</c:v>
                </c:pt>
                <c:pt idx="6">
                  <c:v>1774.1400628141801</c:v>
                </c:pt>
                <c:pt idx="7">
                  <c:v>1087.5198416967701</c:v>
                </c:pt>
                <c:pt idx="8">
                  <c:v>784.76012182125601</c:v>
                </c:pt>
                <c:pt idx="9">
                  <c:v>651.27609008637103</c:v>
                </c:pt>
                <c:pt idx="10">
                  <c:v>566.28681524486797</c:v>
                </c:pt>
                <c:pt idx="11">
                  <c:v>515.88208715351402</c:v>
                </c:pt>
                <c:pt idx="12">
                  <c:v>459.13808390385901</c:v>
                </c:pt>
                <c:pt idx="13">
                  <c:v>438.22851691040898</c:v>
                </c:pt>
                <c:pt idx="14">
                  <c:v>418.27037257755899</c:v>
                </c:pt>
                <c:pt idx="15">
                  <c:v>372.26308530822502</c:v>
                </c:pt>
                <c:pt idx="16">
                  <c:v>372.26308530822502</c:v>
                </c:pt>
                <c:pt idx="17">
                  <c:v>363.68771496674401</c:v>
                </c:pt>
                <c:pt idx="18">
                  <c:v>363.68771496674401</c:v>
                </c:pt>
                <c:pt idx="19">
                  <c:v>363.68771496674401</c:v>
                </c:pt>
                <c:pt idx="20">
                  <c:v>363.68771496674401</c:v>
                </c:pt>
                <c:pt idx="21">
                  <c:v>363.68771496674401</c:v>
                </c:pt>
                <c:pt idx="22">
                  <c:v>372.26308530822502</c:v>
                </c:pt>
                <c:pt idx="23">
                  <c:v>363.68771496674401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A-4ED9-B5EC-522FB72AF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77968"/>
        <c:axId val="293878384"/>
      </c:scatterChart>
      <c:valAx>
        <c:axId val="293877968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3878384"/>
        <c:crosses val="autoZero"/>
        <c:crossBetween val="midCat"/>
      </c:valAx>
      <c:valAx>
        <c:axId val="293878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387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Crss!$A$2:$A$29</c:f>
              <c:numCache>
                <c:formatCode>General</c:formatCode>
                <c:ptCount val="28"/>
                <c:pt idx="0">
                  <c:v>1.7191780706623701</c:v>
                </c:pt>
                <c:pt idx="1">
                  <c:v>3.4384282817332399</c:v>
                </c:pt>
                <c:pt idx="2">
                  <c:v>6.8769287038748397</c:v>
                </c:pt>
                <c:pt idx="3">
                  <c:v>6.8769287038748397</c:v>
                </c:pt>
                <c:pt idx="4">
                  <c:v>6.8769287038748397</c:v>
                </c:pt>
                <c:pt idx="5">
                  <c:v>6.8769287038748397</c:v>
                </c:pt>
                <c:pt idx="6">
                  <c:v>6.8769287038748397</c:v>
                </c:pt>
                <c:pt idx="7">
                  <c:v>8.5959624937206502</c:v>
                </c:pt>
                <c:pt idx="8">
                  <c:v>12.034390775454</c:v>
                </c:pt>
                <c:pt idx="9">
                  <c:v>13.7535688461164</c:v>
                </c:pt>
                <c:pt idx="10">
                  <c:v>18.911175198512101</c:v>
                </c:pt>
                <c:pt idx="11">
                  <c:v>46.418312890745398</c:v>
                </c:pt>
                <c:pt idx="12">
                  <c:v>85.959913498841004</c:v>
                </c:pt>
                <c:pt idx="13">
                  <c:v>130.65897617851499</c:v>
                </c:pt>
                <c:pt idx="14">
                  <c:v>185.673395843798</c:v>
                </c:pt>
                <c:pt idx="15">
                  <c:v>232.091708734544</c:v>
                </c:pt>
                <c:pt idx="16">
                  <c:v>278.51002162528903</c:v>
                </c:pt>
                <c:pt idx="17">
                  <c:v>340.40115357322202</c:v>
                </c:pt>
                <c:pt idx="18">
                  <c:v>407.449891873551</c:v>
                </c:pt>
                <c:pt idx="19">
                  <c:v>465.90266768015903</c:v>
                </c:pt>
                <c:pt idx="20">
                  <c:v>563.89689981404501</c:v>
                </c:pt>
                <c:pt idx="21">
                  <c:v>644.69920696049098</c:v>
                </c:pt>
                <c:pt idx="22">
                  <c:v>728.93987024826095</c:v>
                </c:pt>
                <c:pt idx="23">
                  <c:v>802.86532083123996</c:v>
                </c:pt>
                <c:pt idx="24">
                  <c:v>887.10612839982696</c:v>
                </c:pt>
                <c:pt idx="25">
                  <c:v>978.22350397024695</c:v>
                </c:pt>
                <c:pt idx="26">
                  <c:v>1069.3410238214799</c:v>
                </c:pt>
                <c:pt idx="27">
                  <c:v>1200</c:v>
                </c:pt>
              </c:numCache>
            </c:numRef>
          </c:xVal>
          <c:yVal>
            <c:numRef>
              <c:f>Crss!$B$2:$B$29</c:f>
              <c:numCache>
                <c:formatCode>General</c:formatCode>
                <c:ptCount val="28"/>
                <c:pt idx="0">
                  <c:v>2636.65079694817</c:v>
                </c:pt>
                <c:pt idx="1">
                  <c:v>1616.22609143604</c:v>
                </c:pt>
                <c:pt idx="2">
                  <c:v>1087.5198416967701</c:v>
                </c:pt>
                <c:pt idx="3">
                  <c:v>651.27609008637103</c:v>
                </c:pt>
                <c:pt idx="4">
                  <c:v>408.63558813232299</c:v>
                </c:pt>
                <c:pt idx="5">
                  <c:v>212.782170749421</c:v>
                </c:pt>
                <c:pt idx="6">
                  <c:v>133.507691763612</c:v>
                </c:pt>
                <c:pt idx="7">
                  <c:v>79.952902148985302</c:v>
                </c:pt>
                <c:pt idx="8">
                  <c:v>53.7983936461547</c:v>
                </c:pt>
                <c:pt idx="9">
                  <c:v>28.013563466610801</c:v>
                </c:pt>
                <c:pt idx="10">
                  <c:v>16.3898493117843</c:v>
                </c:pt>
                <c:pt idx="11">
                  <c:v>11.028326415707999</c:v>
                </c:pt>
                <c:pt idx="12">
                  <c:v>8.5344199479955201</c:v>
                </c:pt>
                <c:pt idx="13">
                  <c:v>7.2497623626043701</c:v>
                </c:pt>
                <c:pt idx="14">
                  <c:v>6.3036965574667301</c:v>
                </c:pt>
                <c:pt idx="15">
                  <c:v>5.87801717772453</c:v>
                </c:pt>
                <c:pt idx="16">
                  <c:v>5.3548222756878401</c:v>
                </c:pt>
                <c:pt idx="17">
                  <c:v>5.1109537884049203</c:v>
                </c:pt>
                <c:pt idx="18">
                  <c:v>4.7658232385444297</c:v>
                </c:pt>
                <c:pt idx="19">
                  <c:v>4.5487788542483303</c:v>
                </c:pt>
                <c:pt idx="20">
                  <c:v>4.4439941876613203</c:v>
                </c:pt>
                <c:pt idx="21">
                  <c:v>4.4439941876613203</c:v>
                </c:pt>
                <c:pt idx="22">
                  <c:v>4.5487788542483303</c:v>
                </c:pt>
                <c:pt idx="23">
                  <c:v>4.5487788542483303</c:v>
                </c:pt>
                <c:pt idx="24">
                  <c:v>4.5487788542483303</c:v>
                </c:pt>
                <c:pt idx="25">
                  <c:v>4.5487788542483303</c:v>
                </c:pt>
                <c:pt idx="26">
                  <c:v>4.6560342320667596</c:v>
                </c:pt>
                <c:pt idx="27">
                  <c:v>4.6560342320667596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5-4EBD-9595-29695401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204352"/>
        <c:axId val="2085203104"/>
      </c:scatterChart>
      <c:valAx>
        <c:axId val="2085204352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5203104"/>
        <c:crosses val="autoZero"/>
        <c:crossBetween val="midCat"/>
      </c:valAx>
      <c:valAx>
        <c:axId val="20852031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520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2</xdr:row>
      <xdr:rowOff>167640</xdr:rowOff>
    </xdr:from>
    <xdr:to>
      <xdr:col>17</xdr:col>
      <xdr:colOff>514954</xdr:colOff>
      <xdr:row>6</xdr:row>
      <xdr:rowOff>129540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A809350-A95E-400D-B32E-2B756494D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579120"/>
          <a:ext cx="8592154" cy="784860"/>
        </a:xfrm>
        <a:prstGeom prst="rect">
          <a:avLst/>
        </a:prstGeom>
      </xdr:spPr>
    </xdr:pic>
    <xdr:clientData/>
  </xdr:twoCellAnchor>
  <xdr:twoCellAnchor>
    <xdr:from>
      <xdr:col>14</xdr:col>
      <xdr:colOff>358140</xdr:colOff>
      <xdr:row>1</xdr:row>
      <xdr:rowOff>182880</xdr:rowOff>
    </xdr:from>
    <xdr:to>
      <xdr:col>18</xdr:col>
      <xdr:colOff>7620</xdr:colOff>
      <xdr:row>7</xdr:row>
      <xdr:rowOff>129540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470A8AE-7081-4288-87AB-554568D560C5}"/>
            </a:ext>
          </a:extLst>
        </xdr:cNvPr>
        <xdr:cNvSpPr/>
      </xdr:nvSpPr>
      <xdr:spPr>
        <a:xfrm>
          <a:off x="8892540" y="388620"/>
          <a:ext cx="2087880" cy="1181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</xdr:row>
      <xdr:rowOff>99060</xdr:rowOff>
    </xdr:from>
    <xdr:to>
      <xdr:col>11</xdr:col>
      <xdr:colOff>472989</xdr:colOff>
      <xdr:row>5</xdr:row>
      <xdr:rowOff>76252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9A302C7-FAB3-4614-A989-76B012E3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10540"/>
          <a:ext cx="6340389" cy="594412"/>
        </a:xfrm>
        <a:prstGeom prst="rect">
          <a:avLst/>
        </a:prstGeom>
      </xdr:spPr>
    </xdr:pic>
    <xdr:clientData/>
  </xdr:twoCellAnchor>
  <xdr:twoCellAnchor>
    <xdr:from>
      <xdr:col>10</xdr:col>
      <xdr:colOff>121920</xdr:colOff>
      <xdr:row>2</xdr:row>
      <xdr:rowOff>7620</xdr:rowOff>
    </xdr:from>
    <xdr:to>
      <xdr:col>11</xdr:col>
      <xdr:colOff>594360</xdr:colOff>
      <xdr:row>3</xdr:row>
      <xdr:rowOff>144780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D1183F0-23F5-4D45-B41B-7974C3D69B03}"/>
            </a:ext>
          </a:extLst>
        </xdr:cNvPr>
        <xdr:cNvSpPr/>
      </xdr:nvSpPr>
      <xdr:spPr>
        <a:xfrm>
          <a:off x="6217920" y="419100"/>
          <a:ext cx="108204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38101</xdr:colOff>
      <xdr:row>7</xdr:row>
      <xdr:rowOff>68580</xdr:rowOff>
    </xdr:from>
    <xdr:to>
      <xdr:col>14</xdr:col>
      <xdr:colOff>350520</xdr:colOff>
      <xdr:row>30</xdr:row>
      <xdr:rowOff>38947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514F4CC-88B2-4292-B787-5365B314B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1" y="1508760"/>
          <a:ext cx="7627619" cy="47023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1</xdr:row>
      <xdr:rowOff>121920</xdr:rowOff>
    </xdr:from>
    <xdr:to>
      <xdr:col>9</xdr:col>
      <xdr:colOff>381301</xdr:colOff>
      <xdr:row>14</xdr:row>
      <xdr:rowOff>53566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8DE37DE-E1ED-4809-8C86-888D7FAD8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" y="327660"/>
          <a:ext cx="3475021" cy="2606266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0</xdr:row>
      <xdr:rowOff>15240</xdr:rowOff>
    </xdr:from>
    <xdr:to>
      <xdr:col>18</xdr:col>
      <xdr:colOff>323850</xdr:colOff>
      <xdr:row>13</xdr:row>
      <xdr:rowOff>83820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C0B90E7-9244-46CB-931C-340B24ADF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419100</xdr:colOff>
      <xdr:row>2</xdr:row>
      <xdr:rowOff>68580</xdr:rowOff>
    </xdr:from>
    <xdr:to>
      <xdr:col>5</xdr:col>
      <xdr:colOff>556260</xdr:colOff>
      <xdr:row>3</xdr:row>
      <xdr:rowOff>60960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00BBD144-2561-4C7E-82F1-41D7D596FAB9}"/>
            </a:ext>
          </a:extLst>
        </xdr:cNvPr>
        <xdr:cNvCxnSpPr/>
      </xdr:nvCxnSpPr>
      <xdr:spPr>
        <a:xfrm>
          <a:off x="3467100" y="480060"/>
          <a:ext cx="137160" cy="1981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2</xdr:row>
      <xdr:rowOff>137160</xdr:rowOff>
    </xdr:from>
    <xdr:to>
      <xdr:col>11</xdr:col>
      <xdr:colOff>389169</xdr:colOff>
      <xdr:row>3</xdr:row>
      <xdr:rowOff>160040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4EA972-599C-4D80-995D-35D87B16F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548640"/>
          <a:ext cx="6340389" cy="228620"/>
        </a:xfrm>
        <a:prstGeom prst="rect">
          <a:avLst/>
        </a:prstGeom>
      </xdr:spPr>
    </xdr:pic>
    <xdr:clientData/>
  </xdr:twoCellAnchor>
  <xdr:twoCellAnchor>
    <xdr:from>
      <xdr:col>9</xdr:col>
      <xdr:colOff>594360</xdr:colOff>
      <xdr:row>2</xdr:row>
      <xdr:rowOff>99060</xdr:rowOff>
    </xdr:from>
    <xdr:to>
      <xdr:col>11</xdr:col>
      <xdr:colOff>403860</xdr:colOff>
      <xdr:row>4</xdr:row>
      <xdr:rowOff>45720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F8348C0-A894-43BE-B6BB-D785EF48F654}"/>
            </a:ext>
          </a:extLst>
        </xdr:cNvPr>
        <xdr:cNvSpPr/>
      </xdr:nvSpPr>
      <xdr:spPr>
        <a:xfrm>
          <a:off x="6080760" y="510540"/>
          <a:ext cx="1028700" cy="3581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373380</xdr:colOff>
      <xdr:row>2</xdr:row>
      <xdr:rowOff>53340</xdr:rowOff>
    </xdr:from>
    <xdr:to>
      <xdr:col>9</xdr:col>
      <xdr:colOff>312732</xdr:colOff>
      <xdr:row>15</xdr:row>
      <xdr:rowOff>53572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FB0D5E3-90DE-4B18-BF1C-0120F57B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2180" y="464820"/>
          <a:ext cx="3596952" cy="2674852"/>
        </a:xfrm>
        <a:prstGeom prst="rect">
          <a:avLst/>
        </a:prstGeom>
      </xdr:spPr>
    </xdr:pic>
    <xdr:clientData/>
  </xdr:twoCellAnchor>
  <xdr:twoCellAnchor>
    <xdr:from>
      <xdr:col>6</xdr:col>
      <xdr:colOff>312420</xdr:colOff>
      <xdr:row>5</xdr:row>
      <xdr:rowOff>144780</xdr:rowOff>
    </xdr:from>
    <xdr:to>
      <xdr:col>7</xdr:col>
      <xdr:colOff>76200</xdr:colOff>
      <xdr:row>7</xdr:row>
      <xdr:rowOff>60960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523FCE57-BFA2-4558-9F49-8871BF4B9952}"/>
            </a:ext>
          </a:extLst>
        </xdr:cNvPr>
        <xdr:cNvCxnSpPr/>
      </xdr:nvCxnSpPr>
      <xdr:spPr>
        <a:xfrm>
          <a:off x="3970020" y="1173480"/>
          <a:ext cx="373380" cy="3276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499110</xdr:colOff>
      <xdr:row>1</xdr:row>
      <xdr:rowOff>30480</xdr:rowOff>
    </xdr:from>
    <xdr:to>
      <xdr:col>17</xdr:col>
      <xdr:colOff>194310</xdr:colOff>
      <xdr:row>14</xdr:row>
      <xdr:rowOff>99060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665BE93-F426-4E35-A86E-B68C12AD6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2</xdr:row>
      <xdr:rowOff>152400</xdr:rowOff>
    </xdr:from>
    <xdr:to>
      <xdr:col>11</xdr:col>
      <xdr:colOff>381549</xdr:colOff>
      <xdr:row>3</xdr:row>
      <xdr:rowOff>175280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999A94-1C1C-4843-AD07-168446B6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563880"/>
          <a:ext cx="6340389" cy="228620"/>
        </a:xfrm>
        <a:prstGeom prst="rect">
          <a:avLst/>
        </a:prstGeom>
      </xdr:spPr>
    </xdr:pic>
    <xdr:clientData/>
  </xdr:twoCellAnchor>
  <xdr:twoCellAnchor>
    <xdr:from>
      <xdr:col>9</xdr:col>
      <xdr:colOff>601980</xdr:colOff>
      <xdr:row>2</xdr:row>
      <xdr:rowOff>137160</xdr:rowOff>
    </xdr:from>
    <xdr:to>
      <xdr:col>11</xdr:col>
      <xdr:colOff>419100</xdr:colOff>
      <xdr:row>3</xdr:row>
      <xdr:rowOff>198120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15785F2-43DF-4923-8FC9-A8A81F7DEA55}"/>
            </a:ext>
          </a:extLst>
        </xdr:cNvPr>
        <xdr:cNvSpPr/>
      </xdr:nvSpPr>
      <xdr:spPr>
        <a:xfrm>
          <a:off x="6088380" y="548640"/>
          <a:ext cx="103632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541020</xdr:colOff>
      <xdr:row>2</xdr:row>
      <xdr:rowOff>121920</xdr:rowOff>
    </xdr:from>
    <xdr:to>
      <xdr:col>9</xdr:col>
      <xdr:colOff>221269</xdr:colOff>
      <xdr:row>16</xdr:row>
      <xdr:rowOff>30722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9F8664D-E835-42B9-B796-BB1D7AD6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9820" y="533400"/>
          <a:ext cx="3337849" cy="2789162"/>
        </a:xfrm>
        <a:prstGeom prst="rect">
          <a:avLst/>
        </a:prstGeom>
      </xdr:spPr>
    </xdr:pic>
    <xdr:clientData/>
  </xdr:twoCellAnchor>
  <xdr:twoCellAnchor>
    <xdr:from>
      <xdr:col>7</xdr:col>
      <xdr:colOff>359230</xdr:colOff>
      <xdr:row>6</xdr:row>
      <xdr:rowOff>111580</xdr:rowOff>
    </xdr:from>
    <xdr:to>
      <xdr:col>7</xdr:col>
      <xdr:colOff>563336</xdr:colOff>
      <xdr:row>6</xdr:row>
      <xdr:rowOff>193222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474E2D2-5CC0-4C30-8BC7-4F81AA303E97}"/>
            </a:ext>
          </a:extLst>
        </xdr:cNvPr>
        <xdr:cNvCxnSpPr/>
      </xdr:nvCxnSpPr>
      <xdr:spPr>
        <a:xfrm flipH="1" flipV="1">
          <a:off x="4626430" y="1352551"/>
          <a:ext cx="204106" cy="81642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420756</xdr:colOff>
      <xdr:row>1</xdr:row>
      <xdr:rowOff>46382</xdr:rowOff>
    </xdr:from>
    <xdr:to>
      <xdr:col>18</xdr:col>
      <xdr:colOff>115956</xdr:colOff>
      <xdr:row>14</xdr:row>
      <xdr:rowOff>119269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BE0428-9B54-4FCA-9D70-EC412E667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2</xdr:row>
      <xdr:rowOff>45720</xdr:rowOff>
    </xdr:from>
    <xdr:to>
      <xdr:col>8</xdr:col>
      <xdr:colOff>442245</xdr:colOff>
      <xdr:row>15</xdr:row>
      <xdr:rowOff>76434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95EE5B4-0E0B-4D1C-8F04-5A66801B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" y="464820"/>
          <a:ext cx="3292125" cy="2705334"/>
        </a:xfrm>
        <a:prstGeom prst="rect">
          <a:avLst/>
        </a:prstGeom>
      </xdr:spPr>
    </xdr:pic>
    <xdr:clientData/>
  </xdr:twoCellAnchor>
  <xdr:twoCellAnchor>
    <xdr:from>
      <xdr:col>11</xdr:col>
      <xdr:colOff>255270</xdr:colOff>
      <xdr:row>1</xdr:row>
      <xdr:rowOff>175260</xdr:rowOff>
    </xdr:from>
    <xdr:to>
      <xdr:col>18</xdr:col>
      <xdr:colOff>560070</xdr:colOff>
      <xdr:row>15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AA33A5-E522-4D77-9D31-F272AA48D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518160</xdr:colOff>
      <xdr:row>3</xdr:row>
      <xdr:rowOff>114300</xdr:rowOff>
    </xdr:from>
    <xdr:to>
      <xdr:col>6</xdr:col>
      <xdr:colOff>15240</xdr:colOff>
      <xdr:row>4</xdr:row>
      <xdr:rowOff>182880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8D2D0E1B-BADD-41BC-AE23-261FE0CE5603}"/>
            </a:ext>
          </a:extLst>
        </xdr:cNvPr>
        <xdr:cNvCxnSpPr/>
      </xdr:nvCxnSpPr>
      <xdr:spPr>
        <a:xfrm flipH="1">
          <a:off x="3566160" y="739140"/>
          <a:ext cx="106680" cy="27432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278130</xdr:colOff>
      <xdr:row>4</xdr:row>
      <xdr:rowOff>45720</xdr:rowOff>
    </xdr:from>
    <xdr:to>
      <xdr:col>17</xdr:col>
      <xdr:colOff>582930</xdr:colOff>
      <xdr:row>17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C47DA72-A042-4C40-89A6-CC89AD547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571500</xdr:colOff>
      <xdr:row>2</xdr:row>
      <xdr:rowOff>106679</xdr:rowOff>
    </xdr:from>
    <xdr:to>
      <xdr:col>9</xdr:col>
      <xdr:colOff>487680</xdr:colOff>
      <xdr:row>19</xdr:row>
      <xdr:rowOff>46830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EDC018E-326E-48C6-ABB1-C7EBA62B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0700" y="525779"/>
          <a:ext cx="4183380" cy="3437731"/>
        </a:xfrm>
        <a:prstGeom prst="rect">
          <a:avLst/>
        </a:prstGeom>
      </xdr:spPr>
    </xdr:pic>
    <xdr:clientData/>
  </xdr:twoCellAnchor>
  <xdr:twoCellAnchor>
    <xdr:from>
      <xdr:col>5</xdr:col>
      <xdr:colOff>449580</xdr:colOff>
      <xdr:row>6</xdr:row>
      <xdr:rowOff>144780</xdr:rowOff>
    </xdr:from>
    <xdr:to>
      <xdr:col>6</xdr:col>
      <xdr:colOff>419100</xdr:colOff>
      <xdr:row>8</xdr:row>
      <xdr:rowOff>137160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7B88615C-8293-4B30-89F4-056991D774A2}"/>
            </a:ext>
          </a:extLst>
        </xdr:cNvPr>
        <xdr:cNvCxnSpPr/>
      </xdr:nvCxnSpPr>
      <xdr:spPr>
        <a:xfrm flipH="1">
          <a:off x="3497580" y="1386840"/>
          <a:ext cx="579120" cy="4038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365760</xdr:colOff>
      <xdr:row>2</xdr:row>
      <xdr:rowOff>167640</xdr:rowOff>
    </xdr:from>
    <xdr:to>
      <xdr:col>9</xdr:col>
      <xdr:colOff>281940</xdr:colOff>
      <xdr:row>19</xdr:row>
      <xdr:rowOff>107791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D35EA49-B5B5-4CD7-845A-22394DFB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586740"/>
          <a:ext cx="4183380" cy="3437731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10</xdr:row>
      <xdr:rowOff>15240</xdr:rowOff>
    </xdr:from>
    <xdr:to>
      <xdr:col>5</xdr:col>
      <xdr:colOff>441960</xdr:colOff>
      <xdr:row>13</xdr:row>
      <xdr:rowOff>38100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500E3254-AEB0-4FDB-AC34-E712D537E9BA}"/>
            </a:ext>
          </a:extLst>
        </xdr:cNvPr>
        <xdr:cNvCxnSpPr/>
      </xdr:nvCxnSpPr>
      <xdr:spPr>
        <a:xfrm flipH="1">
          <a:off x="3314700" y="2080260"/>
          <a:ext cx="175260" cy="64008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270510</xdr:colOff>
      <xdr:row>6</xdr:row>
      <xdr:rowOff>83820</xdr:rowOff>
    </xdr:from>
    <xdr:to>
      <xdr:col>17</xdr:col>
      <xdr:colOff>575310</xdr:colOff>
      <xdr:row>19</xdr:row>
      <xdr:rowOff>152400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7D988E2-C9A6-45B7-AD53-34C954FB9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E60D-B3FE-43E4-9301-18B38473C8CC}">
  <dimension ref="A1:C2"/>
  <sheetViews>
    <sheetView workbookViewId="0">
      <selection activeCell="G1" sqref="G1"/>
    </sheetView>
  </sheetViews>
  <sheetFormatPr defaultRowHeight="15.6"/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8998-4609-4E64-9CF9-18393042FD95}">
  <dimension ref="A1:C7"/>
  <sheetViews>
    <sheetView workbookViewId="0">
      <selection activeCell="A6" sqref="A6"/>
    </sheetView>
  </sheetViews>
  <sheetFormatPr defaultRowHeight="15.6"/>
  <sheetData>
    <row r="1" spans="1:3">
      <c r="A1" s="2" t="s">
        <v>6</v>
      </c>
    </row>
    <row r="2" spans="1:3">
      <c r="A2" s="2" t="s">
        <v>24</v>
      </c>
    </row>
    <row r="7" spans="1:3">
      <c r="C7">
        <f>0.092597675/9.5403554</f>
        <v>9.7058936609426532E-3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CE2D-B963-4B27-AABF-EB6A3D3A6487}">
  <dimension ref="A1:C21"/>
  <sheetViews>
    <sheetView workbookViewId="0"/>
  </sheetViews>
  <sheetFormatPr defaultRowHeight="15.6"/>
  <sheetData>
    <row r="1" spans="1:3">
      <c r="A1" s="3" t="s">
        <v>22</v>
      </c>
      <c r="B1" s="3" t="s">
        <v>21</v>
      </c>
      <c r="C1" s="2" t="s">
        <v>7</v>
      </c>
    </row>
    <row r="2" spans="1:3">
      <c r="A2" s="2">
        <v>0</v>
      </c>
      <c r="B2" s="2">
        <v>0</v>
      </c>
      <c r="C2" s="2" t="s">
        <v>8</v>
      </c>
    </row>
    <row r="3" spans="1:3">
      <c r="A3" s="2">
        <v>0.10929005916823201</v>
      </c>
      <c r="B3" s="2">
        <v>16.071443401630798</v>
      </c>
      <c r="C3" s="2" t="s">
        <v>8</v>
      </c>
    </row>
    <row r="4" spans="1:3">
      <c r="A4" s="2">
        <v>0.27322486129722401</v>
      </c>
      <c r="B4" s="2">
        <v>33.3333492909778</v>
      </c>
      <c r="C4" s="2" t="s">
        <v>8</v>
      </c>
    </row>
    <row r="5" spans="1:3">
      <c r="A5" s="2">
        <v>0.35519168911500698</v>
      </c>
      <c r="B5" s="2">
        <v>43.4523553681138</v>
      </c>
      <c r="C5" s="2" t="s">
        <v>8</v>
      </c>
    </row>
    <row r="6" spans="1:3">
      <c r="A6" s="2">
        <v>0.47814279071175098</v>
      </c>
      <c r="B6" s="2">
        <v>60.1190549907856</v>
      </c>
      <c r="C6" s="2" t="s">
        <v>8</v>
      </c>
    </row>
    <row r="7" spans="1:3">
      <c r="A7" s="2">
        <v>0.61475493473700804</v>
      </c>
      <c r="B7" s="2">
        <v>75.595217194192699</v>
      </c>
      <c r="C7" s="2" t="s">
        <v>8</v>
      </c>
    </row>
    <row r="8" spans="1:3">
      <c r="A8" s="2">
        <v>0.77868859037257299</v>
      </c>
      <c r="B8" s="2">
        <v>94.047635525621601</v>
      </c>
      <c r="C8" s="2" t="s">
        <v>8</v>
      </c>
    </row>
    <row r="9" spans="1:3">
      <c r="A9" s="2">
        <v>0.88797922278751895</v>
      </c>
      <c r="B9" s="2">
        <v>107.142872753596</v>
      </c>
      <c r="C9" s="2" t="s">
        <v>8</v>
      </c>
    </row>
    <row r="10" spans="1:3">
      <c r="A10" s="2">
        <v>1.01092917789083</v>
      </c>
      <c r="B10" s="2">
        <v>120.238109981571</v>
      </c>
      <c r="C10" s="2" t="s">
        <v>8</v>
      </c>
    </row>
    <row r="11" spans="1:3">
      <c r="A11" s="2">
        <v>1.1338797062408601</v>
      </c>
      <c r="B11" s="2">
        <v>134.52380969726201</v>
      </c>
      <c r="C11" s="2" t="s">
        <v>8</v>
      </c>
    </row>
    <row r="12" spans="1:3">
      <c r="A12" s="2">
        <v>1.2704912770194099</v>
      </c>
      <c r="B12" s="2">
        <v>149.404765633994</v>
      </c>
      <c r="C12" s="2" t="s">
        <v>8</v>
      </c>
    </row>
    <row r="13" spans="1:3">
      <c r="A13" s="2">
        <v>1.3934423786161501</v>
      </c>
      <c r="B13" s="2">
        <v>163.09523410582599</v>
      </c>
      <c r="C13" s="2" t="s">
        <v>8</v>
      </c>
    </row>
    <row r="14" spans="1:3">
      <c r="A14" s="2">
        <v>1.5300550958881201</v>
      </c>
      <c r="B14" s="2">
        <v>178.57143377500799</v>
      </c>
      <c r="C14" s="2" t="s">
        <v>8</v>
      </c>
    </row>
    <row r="15" spans="1:3">
      <c r="A15" s="2">
        <v>1.6803282823418899</v>
      </c>
      <c r="B15" s="2">
        <v>194.04762095559801</v>
      </c>
      <c r="C15" s="2" t="s">
        <v>8</v>
      </c>
    </row>
    <row r="16" spans="1:3">
      <c r="A16" s="2">
        <v>1.8169398531204299</v>
      </c>
      <c r="B16" s="2">
        <v>207.73807693883899</v>
      </c>
      <c r="C16" s="2" t="s">
        <v>8</v>
      </c>
    </row>
    <row r="17" spans="1:3">
      <c r="A17" s="2">
        <v>1.95355142389897</v>
      </c>
      <c r="B17" s="2">
        <v>220.83333914399699</v>
      </c>
      <c r="C17" s="2" t="s">
        <v>8</v>
      </c>
    </row>
    <row r="18" spans="1:3">
      <c r="A18" s="2">
        <v>2.0765025254957199</v>
      </c>
      <c r="B18" s="2">
        <v>234.523795127238</v>
      </c>
      <c r="C18" s="2" t="s">
        <v>8</v>
      </c>
    </row>
    <row r="19" spans="1:3">
      <c r="A19" s="2">
        <v>2.26775941248173</v>
      </c>
      <c r="B19" s="2">
        <v>252.38093226044299</v>
      </c>
      <c r="C19" s="2" t="s">
        <v>8</v>
      </c>
    </row>
    <row r="20" spans="1:3">
      <c r="A20" s="2">
        <v>2.4863383843247702</v>
      </c>
      <c r="B20" s="2">
        <v>275.00000052035801</v>
      </c>
      <c r="C20" s="2" t="s">
        <v>8</v>
      </c>
    </row>
    <row r="21" spans="1:3">
      <c r="A21" s="2">
        <v>2.7868847572323099</v>
      </c>
      <c r="B21" s="2">
        <v>300</v>
      </c>
      <c r="C21" s="2" t="s">
        <v>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347-6644-4F0C-B199-8D9BE1E40AC9}">
  <dimension ref="A1:A2"/>
  <sheetViews>
    <sheetView workbookViewId="0">
      <selection activeCell="E10" sqref="E10"/>
    </sheetView>
  </sheetViews>
  <sheetFormatPr defaultRowHeight="15.6"/>
  <sheetData>
    <row r="1" spans="1:1">
      <c r="A1" s="2" t="s">
        <v>9</v>
      </c>
    </row>
    <row r="2" spans="1:1">
      <c r="A2" s="2">
        <v>1.5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4851-8135-43B9-94EF-3DE6A854403E}">
  <dimension ref="A1:C21"/>
  <sheetViews>
    <sheetView workbookViewId="0"/>
  </sheetViews>
  <sheetFormatPr defaultRowHeight="15.6"/>
  <sheetData>
    <row r="1" spans="1:3">
      <c r="A1" s="1" t="s">
        <v>7</v>
      </c>
      <c r="B1" s="1" t="s">
        <v>23</v>
      </c>
      <c r="C1" s="2" t="s">
        <v>10</v>
      </c>
    </row>
    <row r="2" spans="1:3">
      <c r="A2" s="2">
        <v>0</v>
      </c>
      <c r="B2" s="2">
        <v>0</v>
      </c>
      <c r="C2" s="2" t="s">
        <v>11</v>
      </c>
    </row>
    <row r="3" spans="1:3">
      <c r="A3" s="2">
        <v>4.8132778324981897</v>
      </c>
      <c r="B3" s="5">
        <v>1.0000000000000001E-9</v>
      </c>
      <c r="C3" s="2" t="s">
        <v>11</v>
      </c>
    </row>
    <row r="4" spans="1:3">
      <c r="A4" s="2">
        <v>5.0899033088255097</v>
      </c>
      <c r="B4" s="5">
        <v>2.0000000000000001E-9</v>
      </c>
      <c r="C4" s="2" t="s">
        <v>11</v>
      </c>
    </row>
    <row r="5" spans="1:3">
      <c r="A5" s="2">
        <v>5.3388654249843404</v>
      </c>
      <c r="B5" s="2">
        <v>2.5050023418437499</v>
      </c>
      <c r="C5" s="2" t="s">
        <v>11</v>
      </c>
    </row>
    <row r="6" spans="1:3">
      <c r="A6" s="2">
        <v>5.6154909013116603</v>
      </c>
      <c r="B6" s="2">
        <v>10.020030390255499</v>
      </c>
      <c r="C6" s="2" t="s">
        <v>11</v>
      </c>
    </row>
    <row r="7" spans="1:3">
      <c r="A7" s="2">
        <v>5.7676347391768896</v>
      </c>
      <c r="B7" s="2">
        <v>20.040081803391399</v>
      </c>
      <c r="C7" s="2" t="s">
        <v>11</v>
      </c>
    </row>
    <row r="8" spans="1:3">
      <c r="A8" s="2">
        <v>5.9059468969578699</v>
      </c>
      <c r="B8" s="2">
        <v>35.070137900214903</v>
      </c>
      <c r="C8" s="2" t="s">
        <v>11</v>
      </c>
    </row>
    <row r="9" spans="1:3">
      <c r="A9" s="2">
        <v>6.0165968553357203</v>
      </c>
      <c r="B9" s="2">
        <v>49.599176710365299</v>
      </c>
      <c r="C9" s="2" t="s">
        <v>11</v>
      </c>
    </row>
    <row r="10" spans="1:3">
      <c r="A10" s="2">
        <v>6.0995846143104497</v>
      </c>
      <c r="B10" s="2">
        <v>66.132263644327693</v>
      </c>
      <c r="C10" s="2" t="s">
        <v>11</v>
      </c>
    </row>
    <row r="11" spans="1:3">
      <c r="A11" s="2">
        <v>6.1825723732851898</v>
      </c>
      <c r="B11" s="2">
        <v>82.665308532529096</v>
      </c>
      <c r="C11" s="2" t="s">
        <v>11</v>
      </c>
    </row>
    <row r="12" spans="1:3">
      <c r="A12" s="2">
        <v>6.2655601322599201</v>
      </c>
      <c r="B12" s="2">
        <v>100.701405280749</v>
      </c>
      <c r="C12" s="2" t="s">
        <v>11</v>
      </c>
    </row>
    <row r="13" spans="1:3">
      <c r="A13" s="2">
        <v>6.3485478912346602</v>
      </c>
      <c r="B13" s="2">
        <v>120.24046979746799</v>
      </c>
      <c r="C13" s="2" t="s">
        <v>11</v>
      </c>
    </row>
    <row r="14" spans="1:3">
      <c r="A14" s="2">
        <v>6.4177039701251397</v>
      </c>
      <c r="B14" s="2">
        <v>138.27655603424799</v>
      </c>
      <c r="C14" s="2" t="s">
        <v>11</v>
      </c>
    </row>
    <row r="15" spans="1:3">
      <c r="A15" s="2">
        <v>6.4591978496125098</v>
      </c>
      <c r="B15" s="2">
        <v>150.300581991115</v>
      </c>
      <c r="C15" s="2" t="s">
        <v>11</v>
      </c>
    </row>
    <row r="16" spans="1:3">
      <c r="A16" s="2">
        <v>6.5421844478218798</v>
      </c>
      <c r="B16" s="2">
        <v>169.33868177836101</v>
      </c>
      <c r="C16" s="2" t="s">
        <v>11</v>
      </c>
    </row>
    <row r="17" spans="1:3">
      <c r="A17" s="2">
        <v>6.6113416874777302</v>
      </c>
      <c r="B17" s="2">
        <v>189.87975984554501</v>
      </c>
      <c r="C17" s="2" t="s">
        <v>11</v>
      </c>
    </row>
    <row r="18" spans="1:3">
      <c r="A18" s="2">
        <v>6.6666660862839802</v>
      </c>
      <c r="B18" s="2">
        <v>204.90982645380899</v>
      </c>
      <c r="C18" s="2" t="s">
        <v>11</v>
      </c>
    </row>
    <row r="19" spans="1:3">
      <c r="A19" s="2">
        <v>6.7081599657713404</v>
      </c>
      <c r="B19" s="2">
        <v>216.43285614688301</v>
      </c>
      <c r="C19" s="2" t="s">
        <v>11</v>
      </c>
    </row>
    <row r="20" spans="1:3">
      <c r="A20" s="2">
        <v>6.7773160446618403</v>
      </c>
      <c r="B20" s="2">
        <v>234.46893187222301</v>
      </c>
      <c r="C20" s="2" t="s">
        <v>11</v>
      </c>
    </row>
    <row r="21" spans="1:3">
      <c r="A21" s="2">
        <v>6.8326416042334497</v>
      </c>
      <c r="B21" s="2">
        <v>250</v>
      </c>
      <c r="C21" s="2" t="s">
        <v>11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E5B3-496F-463C-9ADB-770FC46ECA4F}">
  <dimension ref="A1:A2"/>
  <sheetViews>
    <sheetView workbookViewId="0">
      <selection activeCell="H15" sqref="H15"/>
    </sheetView>
  </sheetViews>
  <sheetFormatPr defaultRowHeight="15.6"/>
  <sheetData>
    <row r="1" spans="1:1">
      <c r="A1" s="2" t="s">
        <v>12</v>
      </c>
    </row>
    <row r="2" spans="1:1">
      <c r="A2" s="2" t="s">
        <v>13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0132-BEF8-405F-8532-D9B22151C955}">
  <dimension ref="A1:C21"/>
  <sheetViews>
    <sheetView zoomScaleNormal="100" workbookViewId="0">
      <selection activeCell="O19" sqref="O19"/>
    </sheetView>
  </sheetViews>
  <sheetFormatPr defaultRowHeight="15.6"/>
  <sheetData>
    <row r="1" spans="1:3">
      <c r="A1" s="2" t="s">
        <v>14</v>
      </c>
      <c r="B1" s="2" t="s">
        <v>15</v>
      </c>
      <c r="C1" s="2" t="s">
        <v>16</v>
      </c>
    </row>
    <row r="2" spans="1:3">
      <c r="A2">
        <v>0</v>
      </c>
      <c r="B2">
        <v>0</v>
      </c>
      <c r="C2">
        <v>25</v>
      </c>
    </row>
    <row r="3" spans="1:3">
      <c r="A3">
        <v>0.15182454852000199</v>
      </c>
      <c r="B3" s="4">
        <v>9.9999999999999998E-13</v>
      </c>
      <c r="C3">
        <v>25</v>
      </c>
    </row>
    <row r="4" spans="1:3">
      <c r="A4">
        <v>0.38540145556148903</v>
      </c>
      <c r="B4" s="4">
        <v>1.0000000000000001E-9</v>
      </c>
      <c r="C4">
        <v>25</v>
      </c>
    </row>
    <row r="5" spans="1:3">
      <c r="A5">
        <v>0.56642348500914796</v>
      </c>
      <c r="B5" s="4">
        <v>2.0000000000000001E-9</v>
      </c>
      <c r="C5">
        <v>25</v>
      </c>
    </row>
    <row r="6" spans="1:3">
      <c r="A6">
        <v>0.71240843933095999</v>
      </c>
      <c r="B6">
        <v>1.69492252459986</v>
      </c>
      <c r="C6">
        <v>25</v>
      </c>
    </row>
    <row r="7" spans="1:3">
      <c r="A7">
        <v>0.82335778871680698</v>
      </c>
      <c r="B7">
        <v>9.3220338794699504</v>
      </c>
      <c r="C7">
        <v>25</v>
      </c>
    </row>
    <row r="8" spans="1:3">
      <c r="A8">
        <v>0.92262745964298098</v>
      </c>
      <c r="B8">
        <v>19.491529021239799</v>
      </c>
      <c r="C8">
        <v>25</v>
      </c>
    </row>
    <row r="9" spans="1:3">
      <c r="A9">
        <v>1.0102189222993601</v>
      </c>
      <c r="B9">
        <v>28.389847827382301</v>
      </c>
      <c r="C9">
        <v>25</v>
      </c>
    </row>
    <row r="10" spans="1:3">
      <c r="A10">
        <v>1.09780989489244</v>
      </c>
      <c r="B10">
        <v>39.406777560899201</v>
      </c>
      <c r="C10">
        <v>25</v>
      </c>
    </row>
    <row r="11" spans="1:3">
      <c r="A11">
        <v>1.1912409517470199</v>
      </c>
      <c r="B11">
        <v>50.000001111273001</v>
      </c>
      <c r="C11">
        <v>25</v>
      </c>
    </row>
    <row r="12" spans="1:3">
      <c r="A12">
        <v>1.2788319243401001</v>
      </c>
      <c r="B12">
        <v>60.593224661646801</v>
      </c>
      <c r="C12">
        <v>25</v>
      </c>
    </row>
    <row r="13" spans="1:3">
      <c r="A13">
        <v>1.3722624911313801</v>
      </c>
      <c r="B13">
        <v>72.033905029228293</v>
      </c>
      <c r="C13">
        <v>25</v>
      </c>
    </row>
    <row r="14" spans="1:3">
      <c r="A14">
        <v>1.45985395378776</v>
      </c>
      <c r="B14">
        <v>82.627119689417796</v>
      </c>
      <c r="C14">
        <v>25</v>
      </c>
    </row>
    <row r="15" spans="1:3">
      <c r="A15">
        <v>1.5941606998397799</v>
      </c>
      <c r="B15">
        <v>100.000006667638</v>
      </c>
      <c r="C15">
        <v>25</v>
      </c>
    </row>
    <row r="16" spans="1:3">
      <c r="A16">
        <v>1.6759125682979701</v>
      </c>
      <c r="B16">
        <v>110.593230218012</v>
      </c>
      <c r="C16">
        <v>25</v>
      </c>
    </row>
    <row r="17" spans="1:3">
      <c r="A17">
        <v>1.79854012595361</v>
      </c>
      <c r="B17">
        <v>126.69491863514401</v>
      </c>
      <c r="C17">
        <v>25</v>
      </c>
    </row>
    <row r="18" spans="1:3">
      <c r="A18">
        <v>1.89781028694308</v>
      </c>
      <c r="B18">
        <v>138.98305581993301</v>
      </c>
      <c r="C18">
        <v>25</v>
      </c>
    </row>
    <row r="19" spans="1:3">
      <c r="A19">
        <v>1.9795616653379799</v>
      </c>
      <c r="B19">
        <v>148.728813662915</v>
      </c>
      <c r="C19">
        <v>25</v>
      </c>
    </row>
    <row r="20" spans="1:3">
      <c r="A20">
        <v>2.14306540225436</v>
      </c>
      <c r="B20">
        <v>169.91526076366199</v>
      </c>
      <c r="C20">
        <v>25</v>
      </c>
    </row>
    <row r="21" spans="1:3">
      <c r="A21">
        <v>2.3766423092958502</v>
      </c>
      <c r="B21">
        <v>200</v>
      </c>
      <c r="C21">
        <v>25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5D35-5FAA-447B-83D2-E329D01CFB4C}">
  <dimension ref="A1:B21"/>
  <sheetViews>
    <sheetView workbookViewId="0">
      <selection activeCell="M17" sqref="M17"/>
    </sheetView>
  </sheetViews>
  <sheetFormatPr defaultRowHeight="15.6"/>
  <sheetData>
    <row r="1" spans="1:2" ht="15.9" thickBot="1">
      <c r="A1" s="6" t="s">
        <v>17</v>
      </c>
      <c r="B1" s="7" t="s">
        <v>18</v>
      </c>
    </row>
    <row r="2" spans="1:2">
      <c r="A2">
        <v>1.7191780706623701</v>
      </c>
      <c r="B2">
        <v>11183.6351379712</v>
      </c>
    </row>
    <row r="3" spans="1:2">
      <c r="A3">
        <v>12.034390775454</v>
      </c>
      <c r="B3">
        <v>8858.6698419290697</v>
      </c>
    </row>
    <row r="4" spans="1:2">
      <c r="A4">
        <v>49.856813312887098</v>
      </c>
      <c r="B4">
        <v>8858.6698419290697</v>
      </c>
    </row>
    <row r="5" spans="1:2">
      <c r="A5">
        <v>97.994232133886698</v>
      </c>
      <c r="B5">
        <v>8858.6698419290697</v>
      </c>
    </row>
    <row r="6" spans="1:2">
      <c r="A6">
        <v>144.412689305448</v>
      </c>
      <c r="B6">
        <v>8858.6698419290697</v>
      </c>
    </row>
    <row r="7" spans="1:2">
      <c r="A7">
        <v>201.146214900986</v>
      </c>
      <c r="B7">
        <v>8858.6698419290697</v>
      </c>
    </row>
    <row r="8" spans="1:2">
      <c r="A8">
        <v>285.38687818875599</v>
      </c>
      <c r="B8">
        <v>8858.6698419290697</v>
      </c>
    </row>
    <row r="9" spans="1:2">
      <c r="A9">
        <v>347.27801013668898</v>
      </c>
      <c r="B9">
        <v>8858.6698419290697</v>
      </c>
    </row>
    <row r="10" spans="1:2">
      <c r="A10">
        <v>397.13467916875902</v>
      </c>
      <c r="B10">
        <v>8858.6698419290697</v>
      </c>
    </row>
    <row r="11" spans="1:2">
      <c r="A11">
        <v>471.06027403255399</v>
      </c>
      <c r="B11">
        <v>8858.6698419290697</v>
      </c>
    </row>
    <row r="12" spans="1:2">
      <c r="A12">
        <v>539.828262543954</v>
      </c>
      <c r="B12">
        <v>8858.6698419290697</v>
      </c>
    </row>
    <row r="13" spans="1:2">
      <c r="A13">
        <v>629.22638790330302</v>
      </c>
      <c r="B13">
        <v>8858.6698419290697</v>
      </c>
    </row>
    <row r="14" spans="1:2">
      <c r="A14">
        <v>720.34390775454006</v>
      </c>
      <c r="B14">
        <v>8858.6698419290697</v>
      </c>
    </row>
    <row r="15" spans="1:2">
      <c r="A15">
        <v>799.42696468991505</v>
      </c>
      <c r="B15">
        <v>8858.6698419290697</v>
      </c>
    </row>
    <row r="16" spans="1:2">
      <c r="A16">
        <v>880.22927183636</v>
      </c>
      <c r="B16">
        <v>9067.5434414506599</v>
      </c>
    </row>
    <row r="17" spans="1:2">
      <c r="A17">
        <v>966.18918533520105</v>
      </c>
      <c r="B17">
        <v>8858.6698419290697</v>
      </c>
    </row>
    <row r="18" spans="1:2">
      <c r="A18">
        <v>1034.95702956578</v>
      </c>
      <c r="B18">
        <v>8858.6698419290697</v>
      </c>
    </row>
    <row r="19" spans="1:2">
      <c r="A19">
        <v>1100.2866619358499</v>
      </c>
      <c r="B19">
        <v>8858.6698419290697</v>
      </c>
    </row>
    <row r="20" spans="1:2">
      <c r="A20">
        <v>1144.98601317716</v>
      </c>
      <c r="B20">
        <v>8858.6698419290697</v>
      </c>
    </row>
    <row r="21" spans="1:2">
      <c r="A21">
        <v>1200</v>
      </c>
      <c r="B21">
        <v>8858.6698419290697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6E11-AEC6-4824-B043-2DF665140BA3}">
  <dimension ref="A1:B25"/>
  <sheetViews>
    <sheetView workbookViewId="0">
      <selection activeCell="L20" sqref="L20"/>
    </sheetView>
  </sheetViews>
  <sheetFormatPr defaultRowHeight="15.6"/>
  <sheetData>
    <row r="1" spans="1:2" ht="15.9" thickBot="1">
      <c r="A1" s="6" t="s">
        <v>17</v>
      </c>
      <c r="B1" s="7" t="s">
        <v>19</v>
      </c>
    </row>
    <row r="2" spans="1:2">
      <c r="A2">
        <v>1.7191780706623701</v>
      </c>
      <c r="B2">
        <v>54555.954129727499</v>
      </c>
    </row>
    <row r="3" spans="1:2">
      <c r="A3">
        <v>3.4384282817332399</v>
      </c>
      <c r="B3">
        <v>35863.765834004298</v>
      </c>
    </row>
    <row r="4" spans="1:2">
      <c r="A4">
        <v>6.8769287038748397</v>
      </c>
      <c r="B4">
        <v>23575.978731786799</v>
      </c>
    </row>
    <row r="5" spans="1:2">
      <c r="A5">
        <v>6.8769287038748397</v>
      </c>
      <c r="B5">
        <v>12565.805495729001</v>
      </c>
    </row>
    <row r="6" spans="1:2">
      <c r="A6">
        <v>8.5959624937206502</v>
      </c>
      <c r="B6">
        <v>6697.4724380627304</v>
      </c>
    </row>
    <row r="7" spans="1:2">
      <c r="A7">
        <v>13.7535688461164</v>
      </c>
      <c r="B7">
        <v>3177.0526081170101</v>
      </c>
    </row>
    <row r="8" spans="1:2">
      <c r="A8">
        <v>18.911175198512101</v>
      </c>
      <c r="B8">
        <v>1774.1400628141801</v>
      </c>
    </row>
    <row r="9" spans="1:2">
      <c r="A9">
        <v>49.856813312887098</v>
      </c>
      <c r="B9">
        <v>1087.5198416967701</v>
      </c>
    </row>
    <row r="10" spans="1:2">
      <c r="A10">
        <v>99.713482344957498</v>
      </c>
      <c r="B10">
        <v>784.76012182125601</v>
      </c>
    </row>
    <row r="11" spans="1:2">
      <c r="A11">
        <v>147.85104544677301</v>
      </c>
      <c r="B11">
        <v>651.27609008637103</v>
      </c>
    </row>
    <row r="12" spans="1:2">
      <c r="A12">
        <v>197.707714478844</v>
      </c>
      <c r="B12">
        <v>566.28681524486797</v>
      </c>
    </row>
    <row r="13" spans="1:2">
      <c r="A13">
        <v>244.126027369589</v>
      </c>
      <c r="B13">
        <v>515.88208715351402</v>
      </c>
    </row>
    <row r="14" spans="1:2">
      <c r="A14">
        <v>297.42119682380098</v>
      </c>
      <c r="B14">
        <v>459.13808390385901</v>
      </c>
    </row>
    <row r="15" spans="1:2">
      <c r="A15">
        <v>347.27801013668898</v>
      </c>
      <c r="B15">
        <v>438.22851691040898</v>
      </c>
    </row>
    <row r="16" spans="1:2">
      <c r="A16">
        <v>397.13467916875902</v>
      </c>
      <c r="B16">
        <v>418.27037257755899</v>
      </c>
    </row>
    <row r="17" spans="1:2">
      <c r="A17">
        <v>448.710598411901</v>
      </c>
      <c r="B17">
        <v>372.26308530822502</v>
      </c>
    </row>
    <row r="18" spans="1:2">
      <c r="A18">
        <v>500.28651765504202</v>
      </c>
      <c r="B18">
        <v>372.26308530822502</v>
      </c>
    </row>
    <row r="19" spans="1:2">
      <c r="A19">
        <v>572.49286230776602</v>
      </c>
      <c r="B19">
        <v>363.68771496674401</v>
      </c>
    </row>
    <row r="20" spans="1:2">
      <c r="A20">
        <v>663.61038215900305</v>
      </c>
      <c r="B20">
        <v>363.68771496674401</v>
      </c>
    </row>
    <row r="21" spans="1:2">
      <c r="A21">
        <v>758.16625815156499</v>
      </c>
      <c r="B21">
        <v>363.68771496674401</v>
      </c>
    </row>
    <row r="22" spans="1:2">
      <c r="A22">
        <v>881.94852204743097</v>
      </c>
      <c r="B22">
        <v>363.68771496674401</v>
      </c>
    </row>
    <row r="23" spans="1:2">
      <c r="A23">
        <v>976.504398039992</v>
      </c>
      <c r="B23">
        <v>363.68771496674401</v>
      </c>
    </row>
    <row r="24" spans="1:2">
      <c r="A24">
        <v>1072.7793799628</v>
      </c>
      <c r="B24">
        <v>372.26308530822502</v>
      </c>
    </row>
    <row r="25" spans="1:2">
      <c r="A25">
        <v>1200</v>
      </c>
      <c r="B25">
        <v>363.68771496674401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96B8-578B-4450-9B8E-036779B2D57F}">
  <dimension ref="A1:B29"/>
  <sheetViews>
    <sheetView topLeftCell="A6" workbookViewId="0">
      <selection activeCell="O22" sqref="O22"/>
    </sheetView>
  </sheetViews>
  <sheetFormatPr defaultRowHeight="15.6"/>
  <sheetData>
    <row r="1" spans="1:2" ht="15.9" thickBot="1">
      <c r="A1" s="6" t="s">
        <v>17</v>
      </c>
      <c r="B1" s="7" t="s">
        <v>20</v>
      </c>
    </row>
    <row r="2" spans="1:2">
      <c r="A2">
        <v>1.7191780706623701</v>
      </c>
      <c r="B2">
        <v>2636.65079694817</v>
      </c>
    </row>
    <row r="3" spans="1:2">
      <c r="A3">
        <v>3.4384282817332399</v>
      </c>
      <c r="B3">
        <v>1616.22609143604</v>
      </c>
    </row>
    <row r="4" spans="1:2">
      <c r="A4">
        <v>6.8769287038748397</v>
      </c>
      <c r="B4">
        <v>1087.5198416967701</v>
      </c>
    </row>
    <row r="5" spans="1:2">
      <c r="A5">
        <v>6.8769287038748397</v>
      </c>
      <c r="B5">
        <v>651.27609008637103</v>
      </c>
    </row>
    <row r="6" spans="1:2">
      <c r="A6">
        <v>6.8769287038748397</v>
      </c>
      <c r="B6">
        <v>408.63558813232299</v>
      </c>
    </row>
    <row r="7" spans="1:2">
      <c r="A7">
        <v>6.8769287038748397</v>
      </c>
      <c r="B7">
        <v>212.782170749421</v>
      </c>
    </row>
    <row r="8" spans="1:2">
      <c r="A8">
        <v>6.8769287038748397</v>
      </c>
      <c r="B8">
        <v>133.507691763612</v>
      </c>
    </row>
    <row r="9" spans="1:2">
      <c r="A9">
        <v>8.5959624937206502</v>
      </c>
      <c r="B9">
        <v>79.952902148985302</v>
      </c>
    </row>
    <row r="10" spans="1:2">
      <c r="A10">
        <v>12.034390775454</v>
      </c>
      <c r="B10">
        <v>53.7983936461547</v>
      </c>
    </row>
    <row r="11" spans="1:2">
      <c r="A11">
        <v>13.7535688461164</v>
      </c>
      <c r="B11">
        <v>28.013563466610801</v>
      </c>
    </row>
    <row r="12" spans="1:2">
      <c r="A12">
        <v>18.911175198512101</v>
      </c>
      <c r="B12">
        <v>16.3898493117843</v>
      </c>
    </row>
    <row r="13" spans="1:2">
      <c r="A13">
        <v>46.418312890745398</v>
      </c>
      <c r="B13">
        <v>11.028326415707999</v>
      </c>
    </row>
    <row r="14" spans="1:2">
      <c r="A14">
        <v>85.959913498841004</v>
      </c>
      <c r="B14">
        <v>8.5344199479955201</v>
      </c>
    </row>
    <row r="15" spans="1:2">
      <c r="A15">
        <v>130.65897617851499</v>
      </c>
      <c r="B15">
        <v>7.2497623626043701</v>
      </c>
    </row>
    <row r="16" spans="1:2">
      <c r="A16">
        <v>185.673395843798</v>
      </c>
      <c r="B16">
        <v>6.3036965574667301</v>
      </c>
    </row>
    <row r="17" spans="1:2">
      <c r="A17">
        <v>232.091708734544</v>
      </c>
      <c r="B17">
        <v>5.87801717772453</v>
      </c>
    </row>
    <row r="18" spans="1:2">
      <c r="A18">
        <v>278.51002162528903</v>
      </c>
      <c r="B18">
        <v>5.3548222756878401</v>
      </c>
    </row>
    <row r="19" spans="1:2">
      <c r="A19">
        <v>340.40115357322202</v>
      </c>
      <c r="B19">
        <v>5.1109537884049203</v>
      </c>
    </row>
    <row r="20" spans="1:2">
      <c r="A20">
        <v>407.449891873551</v>
      </c>
      <c r="B20">
        <v>4.7658232385444297</v>
      </c>
    </row>
    <row r="21" spans="1:2">
      <c r="A21">
        <v>465.90266768015903</v>
      </c>
      <c r="B21">
        <v>4.5487788542483303</v>
      </c>
    </row>
    <row r="22" spans="1:2">
      <c r="A22">
        <v>563.89689981404501</v>
      </c>
      <c r="B22">
        <v>4.4439941876613203</v>
      </c>
    </row>
    <row r="23" spans="1:2">
      <c r="A23">
        <v>644.69920696049098</v>
      </c>
      <c r="B23">
        <v>4.4439941876613203</v>
      </c>
    </row>
    <row r="24" spans="1:2">
      <c r="A24">
        <v>728.93987024826095</v>
      </c>
      <c r="B24">
        <v>4.5487788542483303</v>
      </c>
    </row>
    <row r="25" spans="1:2">
      <c r="A25">
        <v>802.86532083123996</v>
      </c>
      <c r="B25">
        <v>4.5487788542483303</v>
      </c>
    </row>
    <row r="26" spans="1:2">
      <c r="A26">
        <v>887.10612839982696</v>
      </c>
      <c r="B26">
        <v>4.5487788542483303</v>
      </c>
    </row>
    <row r="27" spans="1:2">
      <c r="A27">
        <v>978.22350397024695</v>
      </c>
      <c r="B27">
        <v>4.5487788542483303</v>
      </c>
    </row>
    <row r="28" spans="1:2">
      <c r="A28">
        <v>1069.3410238214799</v>
      </c>
      <c r="B28">
        <v>4.6560342320667596</v>
      </c>
    </row>
    <row r="29" spans="1:2">
      <c r="A29">
        <v>1200</v>
      </c>
      <c r="B29">
        <v>4.6560342320667596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89AF-BEB5-4342-B4D1-36818F4D3137}">
  <dimension ref="A1:A2"/>
  <sheetViews>
    <sheetView tabSelected="1" workbookViewId="0">
      <selection activeCell="A2" sqref="A2"/>
    </sheetView>
  </sheetViews>
  <sheetFormatPr defaultRowHeight="15.6"/>
  <sheetData>
    <row r="1" spans="1:1">
      <c r="A1" t="s">
        <v>26</v>
      </c>
    </row>
    <row r="2" spans="1:1">
      <c r="A2">
        <v>1800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0B00-EBB2-42AF-8700-8D5FB4EEF949}">
  <dimension ref="A1:A2"/>
  <sheetViews>
    <sheetView workbookViewId="0">
      <selection activeCell="A2" sqref="A2"/>
    </sheetView>
  </sheetViews>
  <sheetFormatPr defaultRowHeight="15.6"/>
  <sheetData>
    <row r="1" spans="1:1">
      <c r="A1" t="s">
        <v>25</v>
      </c>
    </row>
    <row r="2" spans="1:1">
      <c r="A2">
        <v>201.6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2A50-4262-4598-ACF7-573BB7BEDC7C}">
  <dimension ref="A1:A2"/>
  <sheetViews>
    <sheetView workbookViewId="0">
      <selection activeCell="K27" sqref="K27"/>
    </sheetView>
  </sheetViews>
  <sheetFormatPr defaultRowHeight="15.6"/>
  <sheetData>
    <row r="1" spans="1:1">
      <c r="A1" t="s">
        <v>27</v>
      </c>
    </row>
    <row r="2" spans="1:1">
      <c r="A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2025-10-22T14:33:54Z</dcterms:created>
  <dcterms:modified xsi:type="dcterms:W3CDTF">2026-02-13T13:23:47Z</dcterms:modified>
</cp:coreProperties>
</file>