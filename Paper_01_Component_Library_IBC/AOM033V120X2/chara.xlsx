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AOM033V120X2\"/>
    </mc:Choice>
  </mc:AlternateContent>
  <xr:revisionPtr revIDLastSave="0" documentId="13_ncr:1_{92D2654F-FA29-4472-963B-50530D1F6EF9}" xr6:coauthVersionLast="47" xr6:coauthVersionMax="47" xr10:uidLastSave="{00000000-0000-0000-0000-000000000000}"/>
  <bookViews>
    <workbookView xWindow="-96" yWindow="-96" windowWidth="23232" windowHeight="13872" activeTab="1" xr2:uid="{1E0CD794-3177-40A9-A113-75F46A9DD563}"/>
  </bookViews>
  <sheets>
    <sheet name="Capacitance" sheetId="1" r:id="rId1"/>
    <sheet name="Rds(on)" sheetId="8" r:id="rId2"/>
    <sheet name="Output" sheetId="4" r:id="rId3"/>
    <sheet name="Rg" sheetId="9" r:id="rId4"/>
    <sheet name="Transfer" sheetId="5" r:id="rId5"/>
    <sheet name="VTH" sheetId="6" r:id="rId6"/>
    <sheet name="body diode" sheetId="7" r:id="rId7"/>
    <sheet name="Ciss" sheetId="10" r:id="rId8"/>
    <sheet name="Coss" sheetId="11" r:id="rId9"/>
    <sheet name="Crss" sheetId="12" r:id="rId10"/>
    <sheet name="Eon" sheetId="13" r:id="rId11"/>
    <sheet name="Eoff" sheetId="14" r:id="rId12"/>
    <sheet name="ID_25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8" l="1"/>
</calcChain>
</file>

<file path=xl/sharedStrings.xml><?xml version="1.0" encoding="utf-8"?>
<sst xmlns="http://schemas.openxmlformats.org/spreadsheetml/2006/main" count="54" uniqueCount="28">
  <si>
    <t>Ciss</t>
    <phoneticPr fontId="3" type="noConversion"/>
  </si>
  <si>
    <t>Coss</t>
    <phoneticPr fontId="3" type="noConversion"/>
  </si>
  <si>
    <t>Crss</t>
    <phoneticPr fontId="3" type="noConversion"/>
  </si>
  <si>
    <t>Rds(on)</t>
  </si>
  <si>
    <t>Vds(V)</t>
    <phoneticPr fontId="3" type="noConversion"/>
  </si>
  <si>
    <t>Ids(A)</t>
    <phoneticPr fontId="3" type="noConversion"/>
  </si>
  <si>
    <t>VGS</t>
  </si>
  <si>
    <t>Rg</t>
    <phoneticPr fontId="3" type="noConversion"/>
  </si>
  <si>
    <t>Vgs(V)</t>
    <phoneticPr fontId="3" type="noConversion"/>
  </si>
  <si>
    <t>Vds</t>
    <phoneticPr fontId="3" type="noConversion"/>
  </si>
  <si>
    <t>VTH</t>
    <phoneticPr fontId="3" type="noConversion"/>
  </si>
  <si>
    <t>Vsd</t>
    <phoneticPr fontId="3" type="noConversion"/>
  </si>
  <si>
    <t>Isd</t>
    <phoneticPr fontId="3" type="noConversion"/>
  </si>
  <si>
    <t>Tj</t>
    <phoneticPr fontId="3" type="noConversion"/>
  </si>
  <si>
    <t>Vds_V</t>
  </si>
  <si>
    <t>Ciss_pF</t>
  </si>
  <si>
    <t>Coss_pF</t>
    <phoneticPr fontId="3" type="noConversion"/>
  </si>
  <si>
    <t>Crss_pF</t>
    <phoneticPr fontId="3" type="noConversion"/>
  </si>
  <si>
    <t>x</t>
  </si>
  <si>
    <t>y</t>
  </si>
  <si>
    <t>16V</t>
  </si>
  <si>
    <t>2908pF</t>
  </si>
  <si>
    <t>128pF</t>
  </si>
  <si>
    <t>9.9pF</t>
  </si>
  <si>
    <t>33m</t>
  </si>
  <si>
    <t>ID_25</t>
  </si>
  <si>
    <t>Eoff</t>
  </si>
  <si>
    <t>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</si>
</sst>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charset val="136"/>
      <scheme val="minor"/>
    </font>
    <font>
      <b/>
      <sz val="11"/>
      <color rgb="FF000000"/>
      <name val="新細明體"/>
      <family val="1"/>
      <charset val="136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2">
    <xf numFmtId="0" fontId="0" fillId="0" borderId="0" xfId="0">
      <alignment vertical="center"/>
    </xf>
    <xf numFmtId="0" fontId="2" fillId="0" borderId="1" xfId="1" applyFont="1" applyBorder="1" applyAlignment="1">
      <alignment horizontal="center" vertical="top"/>
    </xf>
    <xf numFmtId="0" fontId="2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0" fillId="0" borderId="0" xfId="0" applyAlignment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0" fillId="0" borderId="0" xfId="0" applyNumberFormat="1">
      <alignment vertical="center"/>
    </xf>
  </cellXfs>
  <cellStyles count="2">
    <cellStyle name="Normal" xfId="0" builtinId="0"/>
    <cellStyle name="一般 2" xfId="1" xr:uid="{1658029B-9C21-4EC5-95DB-C2709D833A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Output!$D$1</c:f>
              <c:strCache>
                <c:ptCount val="1"/>
                <c:pt idx="0">
                  <c:v>Ids(A)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Output!$C$2:$C$30</c:f>
              <c:numCache>
                <c:formatCode>General</c:formatCode>
                <c:ptCount val="29"/>
                <c:pt idx="0">
                  <c:v>0</c:v>
                </c:pt>
                <c:pt idx="1">
                  <c:v>7.8125086479954198E-2</c:v>
                </c:pt>
                <c:pt idx="2">
                  <c:v>0.167410717136701</c:v>
                </c:pt>
                <c:pt idx="3">
                  <c:v>0.245535803616656</c:v>
                </c:pt>
                <c:pt idx="4">
                  <c:v>0.334821434273403</c:v>
                </c:pt>
                <c:pt idx="5">
                  <c:v>0.44642857903120398</c:v>
                </c:pt>
                <c:pt idx="6">
                  <c:v>0.55803572378900501</c:v>
                </c:pt>
                <c:pt idx="7">
                  <c:v>0.68080341272359901</c:v>
                </c:pt>
                <c:pt idx="8">
                  <c:v>0.80357110165819201</c:v>
                </c:pt>
                <c:pt idx="9">
                  <c:v>0.95982127461810196</c:v>
                </c:pt>
                <c:pt idx="10">
                  <c:v>1.08258896355269</c:v>
                </c:pt>
                <c:pt idx="11">
                  <c:v>1.22767859233581</c:v>
                </c:pt>
                <c:pt idx="12">
                  <c:v>1.3950893094725101</c:v>
                </c:pt>
                <c:pt idx="13">
                  <c:v>1.5736605707860001</c:v>
                </c:pt>
                <c:pt idx="14">
                  <c:v>1.7857143161248099</c:v>
                </c:pt>
                <c:pt idx="15">
                  <c:v>1.99776806146363</c:v>
                </c:pt>
                <c:pt idx="16">
                  <c:v>2.2544639835095999</c:v>
                </c:pt>
                <c:pt idx="17">
                  <c:v>2.5223213012273198</c:v>
                </c:pt>
                <c:pt idx="18">
                  <c:v>2.8013391631218201</c:v>
                </c:pt>
                <c:pt idx="19">
                  <c:v>3.0803570250163199</c:v>
                </c:pt>
                <c:pt idx="20">
                  <c:v>3.4709820316686302</c:v>
                </c:pt>
                <c:pt idx="21">
                  <c:v>3.8504464941441401</c:v>
                </c:pt>
                <c:pt idx="22">
                  <c:v>4.2075890167711201</c:v>
                </c:pt>
              </c:numCache>
            </c:numRef>
          </c:xVal>
          <c:yVal>
            <c:numRef>
              <c:f>Output!$D$2:$D$30</c:f>
              <c:numCache>
                <c:formatCode>General</c:formatCode>
                <c:ptCount val="29"/>
                <c:pt idx="0">
                  <c:v>0</c:v>
                </c:pt>
                <c:pt idx="1">
                  <c:v>2.4096476562758</c:v>
                </c:pt>
                <c:pt idx="2">
                  <c:v>5.1204840345087099</c:v>
                </c:pt>
                <c:pt idx="3">
                  <c:v>7.8313319027931696</c:v>
                </c:pt>
                <c:pt idx="4">
                  <c:v>10.090367963013</c:v>
                </c:pt>
                <c:pt idx="5">
                  <c:v>13.403616255314899</c:v>
                </c:pt>
                <c:pt idx="6">
                  <c:v>16.867476143672601</c:v>
                </c:pt>
                <c:pt idx="7">
                  <c:v>20.331318796953099</c:v>
                </c:pt>
                <c:pt idx="8">
                  <c:v>23.6445843243323</c:v>
                </c:pt>
                <c:pt idx="9">
                  <c:v>27.409644424698701</c:v>
                </c:pt>
                <c:pt idx="10">
                  <c:v>31.174704525065199</c:v>
                </c:pt>
                <c:pt idx="11">
                  <c:v>35.692776645504999</c:v>
                </c:pt>
                <c:pt idx="12">
                  <c:v>39.909642808910199</c:v>
                </c:pt>
                <c:pt idx="13">
                  <c:v>44.126508972315499</c:v>
                </c:pt>
                <c:pt idx="14">
                  <c:v>49.096387155794098</c:v>
                </c:pt>
                <c:pt idx="15">
                  <c:v>54.367471296307102</c:v>
                </c:pt>
                <c:pt idx="16">
                  <c:v>60.090367244884803</c:v>
                </c:pt>
                <c:pt idx="17">
                  <c:v>66.566269468510001</c:v>
                </c:pt>
                <c:pt idx="18">
                  <c:v>72.138556693544601</c:v>
                </c:pt>
                <c:pt idx="19">
                  <c:v>78.012049875613698</c:v>
                </c:pt>
                <c:pt idx="20">
                  <c:v>85.993979011898304</c:v>
                </c:pt>
                <c:pt idx="21">
                  <c:v>93.222891819340305</c:v>
                </c:pt>
                <c:pt idx="22">
                  <c:v>99.246987979926701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1E-47A6-B593-D2A23B671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9216543"/>
        <c:axId val="2129229439"/>
      </c:scatterChart>
      <c:valAx>
        <c:axId val="2129216543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9229439"/>
        <c:crosses val="autoZero"/>
        <c:crossBetween val="midCat"/>
      </c:valAx>
      <c:valAx>
        <c:axId val="212922943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9216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Transfer!$D$1</c:f>
              <c:strCache>
                <c:ptCount val="1"/>
                <c:pt idx="0">
                  <c:v>Ids(A)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Transfer!$C$2:$C$25</c:f>
              <c:numCache>
                <c:formatCode>General</c:formatCode>
                <c:ptCount val="24"/>
                <c:pt idx="0">
                  <c:v>0</c:v>
                </c:pt>
                <c:pt idx="1">
                  <c:v>3.6858974528788102</c:v>
                </c:pt>
                <c:pt idx="2">
                  <c:v>4.18803382576478</c:v>
                </c:pt>
                <c:pt idx="3">
                  <c:v>4.5940170147706603</c:v>
                </c:pt>
                <c:pt idx="4">
                  <c:v>5.1175213958236601</c:v>
                </c:pt>
                <c:pt idx="5">
                  <c:v>5.5982905756487602</c:v>
                </c:pt>
                <c:pt idx="6">
                  <c:v>6.0363245542459403</c:v>
                </c:pt>
                <c:pt idx="7">
                  <c:v>6.3568373407960097</c:v>
                </c:pt>
                <c:pt idx="8">
                  <c:v>6.6666665308156299</c:v>
                </c:pt>
                <c:pt idx="9">
                  <c:v>6.9337605196073504</c:v>
                </c:pt>
                <c:pt idx="10">
                  <c:v>7.1794865002320396</c:v>
                </c:pt>
                <c:pt idx="11">
                  <c:v>7.4999992867821001</c:v>
                </c:pt>
                <c:pt idx="12">
                  <c:v>7.7243588894520796</c:v>
                </c:pt>
                <c:pt idx="13">
                  <c:v>7.9380340804854503</c:v>
                </c:pt>
                <c:pt idx="14">
                  <c:v>8.1623920529430993</c:v>
                </c:pt>
                <c:pt idx="15">
                  <c:v>8.3547000509156</c:v>
                </c:pt>
                <c:pt idx="16">
                  <c:v>8.5683752419489796</c:v>
                </c:pt>
                <c:pt idx="17">
                  <c:v>8.71794885379974</c:v>
                </c:pt>
                <c:pt idx="18">
                  <c:v>8.8888880284990393</c:v>
                </c:pt>
                <c:pt idx="19">
                  <c:v>9.0705116148349401</c:v>
                </c:pt>
                <c:pt idx="20">
                  <c:v>9.2307680081099797</c:v>
                </c:pt>
                <c:pt idx="21">
                  <c:v>9.4017088130216102</c:v>
                </c:pt>
                <c:pt idx="22">
                  <c:v>9.5405980132357708</c:v>
                </c:pt>
              </c:numCache>
            </c:numRef>
          </c:xVal>
          <c:yVal>
            <c:numRef>
              <c:f>Transfer!$D$2:$D$25</c:f>
              <c:numCache>
                <c:formatCode>0.00E+00</c:formatCode>
                <c:ptCount val="24"/>
                <c:pt idx="0" formatCode="General">
                  <c:v>0</c:v>
                </c:pt>
                <c:pt idx="1">
                  <c:v>1.0000000000000001E-9</c:v>
                </c:pt>
                <c:pt idx="2" formatCode="General">
                  <c:v>0.32110417166440902</c:v>
                </c:pt>
                <c:pt idx="3" formatCode="General">
                  <c:v>0.96330434897490602</c:v>
                </c:pt>
                <c:pt idx="4" formatCode="General">
                  <c:v>1.8195766960677799</c:v>
                </c:pt>
                <c:pt idx="5" formatCode="General">
                  <c:v>2.9969450488067602</c:v>
                </c:pt>
                <c:pt idx="6" formatCode="General">
                  <c:v>4.70948157697421</c:v>
                </c:pt>
                <c:pt idx="7" formatCode="General">
                  <c:v>6.3149861032596197</c:v>
                </c:pt>
                <c:pt idx="8" formatCode="General">
                  <c:v>8.5626908068555494</c:v>
                </c:pt>
                <c:pt idx="9" formatCode="General">
                  <c:v>10.917435678351801</c:v>
                </c:pt>
                <c:pt idx="10" formatCode="General">
                  <c:v>13.058108380065599</c:v>
                </c:pt>
                <c:pt idx="11" formatCode="General">
                  <c:v>16.697249523173699</c:v>
                </c:pt>
                <c:pt idx="12" formatCode="General">
                  <c:v>20.1223266625178</c:v>
                </c:pt>
                <c:pt idx="13" formatCode="General">
                  <c:v>23.4403717999798</c:v>
                </c:pt>
                <c:pt idx="14" formatCode="General">
                  <c:v>27.507649116634401</c:v>
                </c:pt>
                <c:pt idx="15" formatCode="General">
                  <c:v>31.253826344633701</c:v>
                </c:pt>
                <c:pt idx="16" formatCode="General">
                  <c:v>36.177371925371901</c:v>
                </c:pt>
                <c:pt idx="17" formatCode="General">
                  <c:v>40.4587173287997</c:v>
                </c:pt>
                <c:pt idx="18" formatCode="General">
                  <c:v>45.489298994429198</c:v>
                </c:pt>
                <c:pt idx="19" formatCode="General">
                  <c:v>51.376148924142299</c:v>
                </c:pt>
                <c:pt idx="20" formatCode="General">
                  <c:v>57.2629988538555</c:v>
                </c:pt>
                <c:pt idx="21" formatCode="General">
                  <c:v>63.577981894858297</c:v>
                </c:pt>
                <c:pt idx="22" formatCode="General">
                  <c:v>69.571866888710403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C6-49FF-9B91-52579810E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18719"/>
        <c:axId val="93619135"/>
      </c:scatterChart>
      <c:valAx>
        <c:axId val="93618719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19135"/>
        <c:crosses val="autoZero"/>
        <c:crossBetween val="midCat"/>
        <c:majorUnit val="1"/>
      </c:valAx>
      <c:valAx>
        <c:axId val="93619135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18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'body diode'!$A$2:$A$28</c:f>
              <c:numCache>
                <c:formatCode>General</c:formatCode>
                <c:ptCount val="27"/>
                <c:pt idx="0">
                  <c:v>0</c:v>
                </c:pt>
                <c:pt idx="1">
                  <c:v>1.11590652886484</c:v>
                </c:pt>
                <c:pt idx="2">
                  <c:v>1.36251541415775</c:v>
                </c:pt>
                <c:pt idx="3">
                  <c:v>1.70776844152979</c:v>
                </c:pt>
                <c:pt idx="4">
                  <c:v>1.8988901806413101</c:v>
                </c:pt>
                <c:pt idx="5">
                  <c:v>2.0468555118170602</c:v>
                </c:pt>
                <c:pt idx="6">
                  <c:v>2.1824906927091399</c:v>
                </c:pt>
                <c:pt idx="7">
                  <c:v>2.2811342468263098</c:v>
                </c:pt>
                <c:pt idx="8">
                  <c:v>2.3674470626978499</c:v>
                </c:pt>
                <c:pt idx="9">
                  <c:v>2.4475956853705001</c:v>
                </c:pt>
                <c:pt idx="10">
                  <c:v>2.5092476127127399</c:v>
                </c:pt>
                <c:pt idx="11">
                  <c:v>2.5709001280169499</c:v>
                </c:pt>
                <c:pt idx="12">
                  <c:v>2.6387174244820102</c:v>
                </c:pt>
                <c:pt idx="13">
                  <c:v>2.68187442037974</c:v>
                </c:pt>
                <c:pt idx="14">
                  <c:v>2.7373609785991802</c:v>
                </c:pt>
                <c:pt idx="15">
                  <c:v>2.7990129059414302</c:v>
                </c:pt>
                <c:pt idx="16">
                  <c:v>2.8606654212456402</c:v>
                </c:pt>
                <c:pt idx="17">
                  <c:v>2.9161531553889901</c:v>
                </c:pt>
                <c:pt idx="18">
                  <c:v>2.9716397136084298</c:v>
                </c:pt>
                <c:pt idx="19">
                  <c:v>3.0394575980354501</c:v>
                </c:pt>
                <c:pt idx="20">
                  <c:v>3.1011095253777001</c:v>
                </c:pt>
                <c:pt idx="21">
                  <c:v>3.1627620406819101</c:v>
                </c:pt>
                <c:pt idx="22">
                  <c:v>3.23057933714697</c:v>
                </c:pt>
                <c:pt idx="23">
                  <c:v>3.29223126448922</c:v>
                </c:pt>
                <c:pt idx="24">
                  <c:v>3.3415536295097601</c:v>
                </c:pt>
                <c:pt idx="25">
                  <c:v>3.3908754065683402</c:v>
                </c:pt>
                <c:pt idx="26">
                  <c:v>3.4155357071356698</c:v>
                </c:pt>
              </c:numCache>
            </c:numRef>
          </c:xVal>
          <c:yVal>
            <c:numRef>
              <c:f>'body diode'!$B$2:$B$28</c:f>
              <c:numCache>
                <c:formatCode>0.00E+00</c:formatCode>
                <c:ptCount val="27"/>
                <c:pt idx="0" formatCode="General">
                  <c:v>0</c:v>
                </c:pt>
                <c:pt idx="1">
                  <c:v>1.0000000000000001E-9</c:v>
                </c:pt>
                <c:pt idx="2">
                  <c:v>2.0000000000000001E-9</c:v>
                </c:pt>
                <c:pt idx="3" formatCode="General">
                  <c:v>0.18450211446933801</c:v>
                </c:pt>
                <c:pt idx="4" formatCode="General">
                  <c:v>0.44280533865842597</c:v>
                </c:pt>
                <c:pt idx="5" formatCode="General">
                  <c:v>0.81180912771041103</c:v>
                </c:pt>
                <c:pt idx="6" formatCode="General">
                  <c:v>1.4391139415180301</c:v>
                </c:pt>
                <c:pt idx="7" formatCode="General">
                  <c:v>2.06642051487241</c:v>
                </c:pt>
                <c:pt idx="8" formatCode="General">
                  <c:v>2.7675277580598499</c:v>
                </c:pt>
                <c:pt idx="9" formatCode="General">
                  <c:v>3.6531366758299399</c:v>
                </c:pt>
                <c:pt idx="10" formatCode="General">
                  <c:v>4.5756459285165603</c:v>
                </c:pt>
                <c:pt idx="11" formatCode="General">
                  <c:v>5.4981551812031801</c:v>
                </c:pt>
                <c:pt idx="12" formatCode="General">
                  <c:v>6.5313663184127702</c:v>
                </c:pt>
                <c:pt idx="13" formatCode="General">
                  <c:v>7.45387557109939</c:v>
                </c:pt>
                <c:pt idx="14" formatCode="General">
                  <c:v>8.5239852836787406</c:v>
                </c:pt>
                <c:pt idx="15" formatCode="General">
                  <c:v>9.2988940764726298</c:v>
                </c:pt>
                <c:pt idx="16" formatCode="General">
                  <c:v>10.2583027843024</c:v>
                </c:pt>
                <c:pt idx="17" formatCode="General">
                  <c:v>11.1070113671559</c:v>
                </c:pt>
                <c:pt idx="18" formatCode="General">
                  <c:v>11.918820494866299</c:v>
                </c:pt>
                <c:pt idx="19" formatCode="General">
                  <c:v>12.988929327672301</c:v>
                </c:pt>
                <c:pt idx="20" formatCode="General">
                  <c:v>13.874539125215801</c:v>
                </c:pt>
                <c:pt idx="21" formatCode="General">
                  <c:v>14.870850807282199</c:v>
                </c:pt>
                <c:pt idx="22" formatCode="General">
                  <c:v>16.014760309921201</c:v>
                </c:pt>
                <c:pt idx="23" formatCode="General">
                  <c:v>17.0479696875841</c:v>
                </c:pt>
                <c:pt idx="24" formatCode="General">
                  <c:v>18.081180824793702</c:v>
                </c:pt>
                <c:pt idx="25" formatCode="General">
                  <c:v>18.929891167194</c:v>
                </c:pt>
                <c:pt idx="26" formatCode="General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25-4A94-8D80-695CD6F1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470687"/>
        <c:axId val="676471519"/>
      </c:scatterChart>
      <c:valAx>
        <c:axId val="676470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76471519"/>
        <c:crosses val="autoZero"/>
        <c:crossBetween val="midCat"/>
      </c:valAx>
      <c:valAx>
        <c:axId val="67647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76470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Ciss!$B$1</c:f>
              <c:strCache>
                <c:ptCount val="1"/>
                <c:pt idx="0">
                  <c:v>Ciss_pF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Ciss!$A$2:$A$27</c:f>
              <c:numCache>
                <c:formatCode>General</c:formatCode>
                <c:ptCount val="26"/>
                <c:pt idx="0">
                  <c:v>2.1459308274266302</c:v>
                </c:pt>
                <c:pt idx="1">
                  <c:v>7.5107374308801198</c:v>
                </c:pt>
                <c:pt idx="2">
                  <c:v>27.896977965867599</c:v>
                </c:pt>
                <c:pt idx="3">
                  <c:v>59.012872637988202</c:v>
                </c:pt>
                <c:pt idx="4">
                  <c:v>83.690974827828995</c:v>
                </c:pt>
                <c:pt idx="5">
                  <c:v>108.369077017669</c:v>
                </c:pt>
                <c:pt idx="6">
                  <c:v>143.77683334464299</c:v>
                </c:pt>
                <c:pt idx="7">
                  <c:v>184.54931441461801</c:v>
                </c:pt>
                <c:pt idx="8">
                  <c:v>228.540794051299</c:v>
                </c:pt>
                <c:pt idx="9">
                  <c:v>272.53219182752701</c:v>
                </c:pt>
                <c:pt idx="10">
                  <c:v>316.523589603755</c:v>
                </c:pt>
                <c:pt idx="11">
                  <c:v>358.36909748278202</c:v>
                </c:pt>
                <c:pt idx="12">
                  <c:v>399.14157855275698</c:v>
                </c:pt>
                <c:pt idx="13">
                  <c:v>439.91414148318501</c:v>
                </c:pt>
                <c:pt idx="14">
                  <c:v>478.540732655959</c:v>
                </c:pt>
                <c:pt idx="15">
                  <c:v>519.31329558638697</c:v>
                </c:pt>
                <c:pt idx="16">
                  <c:v>563.30469336261501</c:v>
                </c:pt>
                <c:pt idx="17">
                  <c:v>609.44206289649605</c:v>
                </c:pt>
                <c:pt idx="18">
                  <c:v>656.65229551852497</c:v>
                </c:pt>
                <c:pt idx="19">
                  <c:v>707.08152670725894</c:v>
                </c:pt>
                <c:pt idx="20">
                  <c:v>749.99997953488605</c:v>
                </c:pt>
                <c:pt idx="21">
                  <c:v>798.28323896596805</c:v>
                </c:pt>
                <c:pt idx="22">
                  <c:v>846.56649839704903</c:v>
                </c:pt>
                <c:pt idx="23">
                  <c:v>898.06867453438394</c:v>
                </c:pt>
                <c:pt idx="24">
                  <c:v>948.49782386266497</c:v>
                </c:pt>
                <c:pt idx="25">
                  <c:v>993.56216658749395</c:v>
                </c:pt>
              </c:numCache>
            </c:numRef>
          </c:xVal>
          <c:yVal>
            <c:numRef>
              <c:f>Ciss!$B$2:$B$27</c:f>
              <c:numCache>
                <c:formatCode>General</c:formatCode>
                <c:ptCount val="26"/>
                <c:pt idx="0">
                  <c:v>3773.00295136976</c:v>
                </c:pt>
                <c:pt idx="1">
                  <c:v>2967.5129359845</c:v>
                </c:pt>
                <c:pt idx="2">
                  <c:v>3009.7305285310799</c:v>
                </c:pt>
                <c:pt idx="3">
                  <c:v>3009.7305285310799</c:v>
                </c:pt>
                <c:pt idx="4">
                  <c:v>3009.7305285310799</c:v>
                </c:pt>
                <c:pt idx="5">
                  <c:v>3052.5487334958202</c:v>
                </c:pt>
                <c:pt idx="6">
                  <c:v>3009.7305285310799</c:v>
                </c:pt>
                <c:pt idx="7">
                  <c:v>3009.7305285310799</c:v>
                </c:pt>
                <c:pt idx="8">
                  <c:v>2967.5129359845</c:v>
                </c:pt>
                <c:pt idx="9">
                  <c:v>2967.5129359845</c:v>
                </c:pt>
                <c:pt idx="10">
                  <c:v>2967.5129359845</c:v>
                </c:pt>
                <c:pt idx="11">
                  <c:v>2967.5129359845</c:v>
                </c:pt>
                <c:pt idx="12">
                  <c:v>2967.5129359845</c:v>
                </c:pt>
                <c:pt idx="13">
                  <c:v>2967.5129359845</c:v>
                </c:pt>
                <c:pt idx="14">
                  <c:v>2967.5129359845</c:v>
                </c:pt>
                <c:pt idx="15">
                  <c:v>2967.5129359845</c:v>
                </c:pt>
                <c:pt idx="16">
                  <c:v>2967.5129359845</c:v>
                </c:pt>
                <c:pt idx="17">
                  <c:v>2967.5129359845</c:v>
                </c:pt>
                <c:pt idx="18">
                  <c:v>2967.5129359845</c:v>
                </c:pt>
                <c:pt idx="19">
                  <c:v>2967.5129359845</c:v>
                </c:pt>
                <c:pt idx="20">
                  <c:v>2967.5129359845</c:v>
                </c:pt>
                <c:pt idx="21">
                  <c:v>2967.5129359845</c:v>
                </c:pt>
                <c:pt idx="22">
                  <c:v>2967.5129359845</c:v>
                </c:pt>
                <c:pt idx="23">
                  <c:v>2967.5129359845</c:v>
                </c:pt>
                <c:pt idx="24">
                  <c:v>2967.5129359845</c:v>
                </c:pt>
                <c:pt idx="25">
                  <c:v>2967.5129359845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EF-4FDA-9AAF-5CF13E9F2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13311"/>
        <c:axId val="93614559"/>
      </c:scatterChart>
      <c:valAx>
        <c:axId val="93613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14559"/>
        <c:crosses val="autoZero"/>
        <c:crossBetween val="midCat"/>
      </c:valAx>
      <c:valAx>
        <c:axId val="9361455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13311"/>
        <c:crossesAt val="0.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0580314960629922"/>
          <c:y val="0.17171296296296298"/>
          <c:w val="0.85853018372703416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Coss!$B$1</c:f>
              <c:strCache>
                <c:ptCount val="1"/>
                <c:pt idx="0">
                  <c:v>Coss_pF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Coss!$A$2:$A$28</c:f>
              <c:numCache>
                <c:formatCode>General</c:formatCode>
                <c:ptCount val="27"/>
                <c:pt idx="0">
                  <c:v>3.21887577602689</c:v>
                </c:pt>
                <c:pt idx="1">
                  <c:v>3.21887577602689</c:v>
                </c:pt>
                <c:pt idx="2">
                  <c:v>7.5107374308801198</c:v>
                </c:pt>
                <c:pt idx="3">
                  <c:v>13.948488982933799</c:v>
                </c:pt>
                <c:pt idx="4">
                  <c:v>25.751047138440999</c:v>
                </c:pt>
                <c:pt idx="5">
                  <c:v>38.626591172774603</c:v>
                </c:pt>
                <c:pt idx="6">
                  <c:v>57.939886759161801</c:v>
                </c:pt>
                <c:pt idx="7">
                  <c:v>84.763919776429304</c:v>
                </c:pt>
                <c:pt idx="8">
                  <c:v>119.098690224576</c:v>
                </c:pt>
                <c:pt idx="9">
                  <c:v>157.72528139735101</c:v>
                </c:pt>
                <c:pt idx="10">
                  <c:v>206.00854082843199</c:v>
                </c:pt>
                <c:pt idx="11">
                  <c:v>252.145910362313</c:v>
                </c:pt>
                <c:pt idx="12">
                  <c:v>302.57505969059503</c:v>
                </c:pt>
                <c:pt idx="13">
                  <c:v>344.42056756962302</c:v>
                </c:pt>
                <c:pt idx="14">
                  <c:v>386.26607544864999</c:v>
                </c:pt>
                <c:pt idx="15">
                  <c:v>432.40344498253103</c:v>
                </c:pt>
                <c:pt idx="16">
                  <c:v>484.97848420801301</c:v>
                </c:pt>
                <c:pt idx="17">
                  <c:v>533.26174363909502</c:v>
                </c:pt>
                <c:pt idx="18">
                  <c:v>593.34764308613501</c:v>
                </c:pt>
                <c:pt idx="19">
                  <c:v>655.57935056992403</c:v>
                </c:pt>
                <c:pt idx="20">
                  <c:v>718.88408486276603</c:v>
                </c:pt>
                <c:pt idx="21">
                  <c:v>787.55362575906099</c:v>
                </c:pt>
                <c:pt idx="22">
                  <c:v>855.15022170675604</c:v>
                </c:pt>
                <c:pt idx="23">
                  <c:v>930.25751415510399</c:v>
                </c:pt>
                <c:pt idx="24">
                  <c:v>994.63519339654601</c:v>
                </c:pt>
              </c:numCache>
            </c:numRef>
          </c:xVal>
          <c:yVal>
            <c:numRef>
              <c:f>Coss!$B$2:$B$28</c:f>
              <c:numCache>
                <c:formatCode>General</c:formatCode>
                <c:ptCount val="27"/>
                <c:pt idx="0">
                  <c:v>3773.00295136976</c:v>
                </c:pt>
                <c:pt idx="1">
                  <c:v>2367.1904842957802</c:v>
                </c:pt>
                <c:pt idx="2">
                  <c:v>1527.73889694785</c:v>
                </c:pt>
                <c:pt idx="3">
                  <c:v>985.97256748225504</c:v>
                </c:pt>
                <c:pt idx="4">
                  <c:v>692.61293892900096</c:v>
                </c:pt>
                <c:pt idx="5">
                  <c:v>522.14511038527996</c:v>
                </c:pt>
                <c:pt idx="6">
                  <c:v>422.44159783362397</c:v>
                </c:pt>
                <c:pt idx="7">
                  <c:v>346.63895318731397</c:v>
                </c:pt>
                <c:pt idx="8">
                  <c:v>296.751253620478</c:v>
                </c:pt>
                <c:pt idx="9">
                  <c:v>265.04087404356699</c:v>
                </c:pt>
                <c:pt idx="10">
                  <c:v>226.89675610054601</c:v>
                </c:pt>
                <c:pt idx="11">
                  <c:v>211.42358888394199</c:v>
                </c:pt>
                <c:pt idx="12">
                  <c:v>197.00561041409401</c:v>
                </c:pt>
                <c:pt idx="13">
                  <c:v>180.99585885936901</c:v>
                </c:pt>
                <c:pt idx="14">
                  <c:v>171.05229357017001</c:v>
                </c:pt>
                <c:pt idx="15">
                  <c:v>166.28723673740899</c:v>
                </c:pt>
                <c:pt idx="16">
                  <c:v>154.947320450175</c:v>
                </c:pt>
                <c:pt idx="17">
                  <c:v>152.7739102763</c:v>
                </c:pt>
                <c:pt idx="18">
                  <c:v>142.355531888412</c:v>
                </c:pt>
                <c:pt idx="19">
                  <c:v>136.448653196603</c:v>
                </c:pt>
                <c:pt idx="20">
                  <c:v>132.64763219441201</c:v>
                </c:pt>
                <c:pt idx="21">
                  <c:v>128.952425933537</c:v>
                </c:pt>
                <c:pt idx="22">
                  <c:v>130.78694410462401</c:v>
                </c:pt>
                <c:pt idx="23">
                  <c:v>130.78694410462401</c:v>
                </c:pt>
                <c:pt idx="24">
                  <c:v>130.78694410462401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0E-4D81-B8F8-5725DF07D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80191"/>
        <c:axId val="158679359"/>
      </c:scatterChart>
      <c:valAx>
        <c:axId val="158680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8679359"/>
        <c:crosses val="autoZero"/>
        <c:crossBetween val="midCat"/>
      </c:valAx>
      <c:valAx>
        <c:axId val="15867935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8680191"/>
        <c:crossesAt val="0.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Crss_pF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Crss!$B$1:$B$2</c:f>
              <c:strCache>
                <c:ptCount val="2"/>
                <c:pt idx="0">
                  <c:v>Crss_pF</c:v>
                </c:pt>
                <c:pt idx="1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Crss!$A$3:$A$30</c:f>
              <c:numCache>
                <c:formatCode>General</c:formatCode>
                <c:ptCount val="28"/>
                <c:pt idx="0">
                  <c:v>2.1459308274266302</c:v>
                </c:pt>
                <c:pt idx="1">
                  <c:v>5.3648066034534896</c:v>
                </c:pt>
                <c:pt idx="2">
                  <c:v>8.5836823794803507</c:v>
                </c:pt>
                <c:pt idx="3">
                  <c:v>15.021433931534</c:v>
                </c:pt>
                <c:pt idx="4">
                  <c:v>26.8240330172674</c:v>
                </c:pt>
                <c:pt idx="5">
                  <c:v>37.5536462241744</c:v>
                </c:pt>
                <c:pt idx="6">
                  <c:v>53.6480660345348</c:v>
                </c:pt>
                <c:pt idx="7">
                  <c:v>75.107292448348701</c:v>
                </c:pt>
                <c:pt idx="8">
                  <c:v>103.00427041421599</c:v>
                </c:pt>
                <c:pt idx="9">
                  <c:v>141.63086158698999</c:v>
                </c:pt>
                <c:pt idx="10">
                  <c:v>173.81970120771101</c:v>
                </c:pt>
                <c:pt idx="11">
                  <c:v>223.17598744784499</c:v>
                </c:pt>
                <c:pt idx="12">
                  <c:v>272.53219182752701</c:v>
                </c:pt>
                <c:pt idx="13">
                  <c:v>321.88839620720802</c:v>
                </c:pt>
                <c:pt idx="14">
                  <c:v>384.12018555144999</c:v>
                </c:pt>
                <c:pt idx="15">
                  <c:v>447.42483798383898</c:v>
                </c:pt>
                <c:pt idx="16">
                  <c:v>497.85406917257302</c:v>
                </c:pt>
                <c:pt idx="17">
                  <c:v>562.23174841401499</c:v>
                </c:pt>
                <c:pt idx="18">
                  <c:v>626.60942765545599</c:v>
                </c:pt>
                <c:pt idx="19">
                  <c:v>684.54935534484503</c:v>
                </c:pt>
                <c:pt idx="20">
                  <c:v>741.41625622517995</c:v>
                </c:pt>
                <c:pt idx="21">
                  <c:v>813.30463196727601</c:v>
                </c:pt>
                <c:pt idx="22">
                  <c:v>883.047117812171</c:v>
                </c:pt>
                <c:pt idx="23">
                  <c:v>945.27890715641195</c:v>
                </c:pt>
                <c:pt idx="24">
                  <c:v>993.56216658749395</c:v>
                </c:pt>
              </c:numCache>
            </c:numRef>
          </c:xVal>
          <c:yVal>
            <c:numRef>
              <c:f>Crss!$B$3:$B$30</c:f>
              <c:numCache>
                <c:formatCode>General</c:formatCode>
                <c:ptCount val="28"/>
                <c:pt idx="0">
                  <c:v>372.00794117379797</c:v>
                </c:pt>
                <c:pt idx="1">
                  <c:v>125.36015818038</c:v>
                </c:pt>
                <c:pt idx="2">
                  <c:v>75.387741366514604</c:v>
                </c:pt>
                <c:pt idx="3">
                  <c:v>47.971320018263498</c:v>
                </c:pt>
                <c:pt idx="4">
                  <c:v>29.2588831938941</c:v>
                </c:pt>
                <c:pt idx="5">
                  <c:v>23.671904842957801</c:v>
                </c:pt>
                <c:pt idx="6">
                  <c:v>20.5533924036564</c:v>
                </c:pt>
                <c:pt idx="7">
                  <c:v>18.357088709025</c:v>
                </c:pt>
                <c:pt idx="8">
                  <c:v>16.6287259139425</c:v>
                </c:pt>
                <c:pt idx="9">
                  <c:v>15.2773848531765</c:v>
                </c:pt>
                <c:pt idx="10">
                  <c:v>14.4380746352901</c:v>
                </c:pt>
                <c:pt idx="11">
                  <c:v>13.4534737667847</c:v>
                </c:pt>
                <c:pt idx="12">
                  <c:v>12.7143588738011</c:v>
                </c:pt>
                <c:pt idx="13">
                  <c:v>12.3601710324031</c:v>
                </c:pt>
                <c:pt idx="14">
                  <c:v>11.6811269458649</c:v>
                </c:pt>
                <c:pt idx="15">
                  <c:v>11.196438082438201</c:v>
                </c:pt>
                <c:pt idx="16">
                  <c:v>11.0393822900097</c:v>
                </c:pt>
                <c:pt idx="17">
                  <c:v>10.731854791181499</c:v>
                </c:pt>
                <c:pt idx="18">
                  <c:v>10.432899803366601</c:v>
                </c:pt>
                <c:pt idx="19">
                  <c:v>10.432899803366601</c:v>
                </c:pt>
                <c:pt idx="20">
                  <c:v>10.2865543912025</c:v>
                </c:pt>
                <c:pt idx="21">
                  <c:v>10.2865543912025</c:v>
                </c:pt>
                <c:pt idx="22">
                  <c:v>10.432899803366601</c:v>
                </c:pt>
                <c:pt idx="23">
                  <c:v>10.432899803366601</c:v>
                </c:pt>
                <c:pt idx="24">
                  <c:v>10.432899803366601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5E-422F-B696-ECA36716B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810511"/>
        <c:axId val="100794703"/>
      </c:scatterChart>
      <c:valAx>
        <c:axId val="100810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794703"/>
        <c:crosses val="autoZero"/>
        <c:crossBetween val="midCat"/>
      </c:valAx>
      <c:valAx>
        <c:axId val="10079470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810511"/>
        <c:crossesAt val="0.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403860</xdr:colOff>
      <xdr:row>4</xdr:row>
      <xdr:rowOff>137160</xdr:rowOff>
    </xdr:from>
    <xdr:to>
      <xdr:col>14</xdr:col>
      <xdr:colOff>351738</xdr:colOff>
      <xdr:row>8</xdr:row>
      <xdr:rowOff>127740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30ADC781-D94D-7C92-62F2-5C02E7C7A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6900" y="899160"/>
          <a:ext cx="8726118" cy="752580"/>
        </a:xfrm>
        <a:prstGeom prst="rect">
          <a:avLst/>
        </a:prstGeom>
      </xdr:spPr>
    </xdr:pic>
    <xdr:clientData/>
  </xdr:twoCellAnchor>
  <xdr:twoCellAnchor>
    <xdr:from>
      <xdr:col>12</xdr:col>
      <xdr:colOff>53340</xdr:colOff>
      <xdr:row>4</xdr:row>
      <xdr:rowOff>129540</xdr:rowOff>
    </xdr:from>
    <xdr:to>
      <xdr:col>14</xdr:col>
      <xdr:colOff>236220</xdr:colOff>
      <xdr:row>8</xdr:row>
      <xdr:rowOff>121920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DA16EE67-7882-4A07-9CEA-7CC27B90EE24}"/>
            </a:ext>
          </a:extLst>
        </xdr:cNvPr>
        <xdr:cNvSpPr/>
      </xdr:nvSpPr>
      <xdr:spPr>
        <a:xfrm>
          <a:off x="8831580" y="891540"/>
          <a:ext cx="1645920" cy="7543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281940</xdr:colOff>
      <xdr:row>2</xdr:row>
      <xdr:rowOff>53340</xdr:rowOff>
    </xdr:from>
    <xdr:to>
      <xdr:col>14</xdr:col>
      <xdr:colOff>182186</xdr:colOff>
      <xdr:row>5</xdr:row>
      <xdr:rowOff>24841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96F100B5-9C86-AACB-0706-33CBFAF7E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4980" y="434340"/>
          <a:ext cx="8678486" cy="543001"/>
        </a:xfrm>
        <a:prstGeom prst="rect">
          <a:avLst/>
        </a:prstGeom>
      </xdr:spPr>
    </xdr:pic>
    <xdr:clientData/>
  </xdr:twoCellAnchor>
  <xdr:twoCellAnchor>
    <xdr:from>
      <xdr:col>12</xdr:col>
      <xdr:colOff>571500</xdr:colOff>
      <xdr:row>2</xdr:row>
      <xdr:rowOff>68580</xdr:rowOff>
    </xdr:from>
    <xdr:to>
      <xdr:col>14</xdr:col>
      <xdr:colOff>106680</xdr:colOff>
      <xdr:row>3</xdr:row>
      <xdr:rowOff>129540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A124629B-9DA4-4C64-AB0C-BD7400C0EA0F}"/>
            </a:ext>
          </a:extLst>
        </xdr:cNvPr>
        <xdr:cNvSpPr/>
      </xdr:nvSpPr>
      <xdr:spPr>
        <a:xfrm>
          <a:off x="9349740" y="449580"/>
          <a:ext cx="998220" cy="25146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152400</xdr:colOff>
      <xdr:row>8</xdr:row>
      <xdr:rowOff>124691</xdr:rowOff>
    </xdr:from>
    <xdr:to>
      <xdr:col>12</xdr:col>
      <xdr:colOff>511185</xdr:colOff>
      <xdr:row>31</xdr:row>
      <xdr:rowOff>41563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75ACC4-D671-96F4-DD4B-2157F4753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" y="1676400"/>
          <a:ext cx="8339003" cy="43780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205740</xdr:colOff>
      <xdr:row>1</xdr:row>
      <xdr:rowOff>152400</xdr:rowOff>
    </xdr:from>
    <xdr:to>
      <xdr:col>11</xdr:col>
      <xdr:colOff>530146</xdr:colOff>
      <xdr:row>18</xdr:row>
      <xdr:rowOff>95694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164BC19A-64F4-5FFD-4F4C-B0E4A809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94860" y="342900"/>
          <a:ext cx="3982006" cy="3181794"/>
        </a:xfrm>
        <a:prstGeom prst="rect">
          <a:avLst/>
        </a:prstGeom>
      </xdr:spPr>
    </xdr:pic>
    <xdr:clientData/>
  </xdr:twoCellAnchor>
  <xdr:twoCellAnchor>
    <xdr:from>
      <xdr:col>7</xdr:col>
      <xdr:colOff>533400</xdr:colOff>
      <xdr:row>2</xdr:row>
      <xdr:rowOff>160020</xdr:rowOff>
    </xdr:from>
    <xdr:to>
      <xdr:col>8</xdr:col>
      <xdr:colOff>449580</xdr:colOff>
      <xdr:row>3</xdr:row>
      <xdr:rowOff>114300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E7E33A5D-11C4-4CB8-85FE-CB0524B04D99}"/>
            </a:ext>
          </a:extLst>
        </xdr:cNvPr>
        <xdr:cNvCxnSpPr/>
      </xdr:nvCxnSpPr>
      <xdr:spPr>
        <a:xfrm>
          <a:off x="5654040" y="541020"/>
          <a:ext cx="647700" cy="14478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560070</xdr:colOff>
      <xdr:row>3</xdr:row>
      <xdr:rowOff>144780</xdr:rowOff>
    </xdr:from>
    <xdr:to>
      <xdr:col>20</xdr:col>
      <xdr:colOff>255270</xdr:colOff>
      <xdr:row>17</xdr:row>
      <xdr:rowOff>7620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A97FA0D6-7A1D-4294-B037-84FFC3664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205408</xdr:colOff>
      <xdr:row>3</xdr:row>
      <xdr:rowOff>0</xdr:rowOff>
    </xdr:from>
    <xdr:to>
      <xdr:col>10</xdr:col>
      <xdr:colOff>457200</xdr:colOff>
      <xdr:row>4</xdr:row>
      <xdr:rowOff>40655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A18655E4-DE97-C1D8-73A0-EFB4DFA0D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5008" y="616226"/>
          <a:ext cx="5738192" cy="246064"/>
        </a:xfrm>
        <a:prstGeom prst="rect">
          <a:avLst/>
        </a:prstGeom>
      </xdr:spPr>
    </xdr:pic>
    <xdr:clientData/>
  </xdr:twoCellAnchor>
  <xdr:twoCellAnchor>
    <xdr:from>
      <xdr:col>8</xdr:col>
      <xdr:colOff>722243</xdr:colOff>
      <xdr:row>3</xdr:row>
      <xdr:rowOff>19878</xdr:rowOff>
    </xdr:from>
    <xdr:to>
      <xdr:col>10</xdr:col>
      <xdr:colOff>437322</xdr:colOff>
      <xdr:row>4</xdr:row>
      <xdr:rowOff>13253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7266C933-3935-45FE-BB1E-ECE9BAB04F11}"/>
            </a:ext>
          </a:extLst>
        </xdr:cNvPr>
        <xdr:cNvSpPr/>
      </xdr:nvSpPr>
      <xdr:spPr>
        <a:xfrm>
          <a:off x="6553200" y="596348"/>
          <a:ext cx="1172818" cy="18553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11</xdr:col>
      <xdr:colOff>429195</xdr:colOff>
      <xdr:row>18</xdr:row>
      <xdr:rowOff>171873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7434E908-3BA4-D54E-1CAF-C0DB90266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64380" y="571500"/>
          <a:ext cx="4086795" cy="3029373"/>
        </a:xfrm>
        <a:prstGeom prst="rect">
          <a:avLst/>
        </a:prstGeom>
      </xdr:spPr>
    </xdr:pic>
    <xdr:clientData/>
  </xdr:twoCellAnchor>
  <xdr:twoCellAnchor>
    <xdr:from>
      <xdr:col>13</xdr:col>
      <xdr:colOff>186690</xdr:colOff>
      <xdr:row>5</xdr:row>
      <xdr:rowOff>144780</xdr:rowOff>
    </xdr:from>
    <xdr:to>
      <xdr:col>20</xdr:col>
      <xdr:colOff>491490</xdr:colOff>
      <xdr:row>19</xdr:row>
      <xdr:rowOff>7620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94BB3B40-4F2B-4C91-A9D4-5116F58DD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632460</xdr:colOff>
      <xdr:row>8</xdr:row>
      <xdr:rowOff>129540</xdr:rowOff>
    </xdr:from>
    <xdr:to>
      <xdr:col>11</xdr:col>
      <xdr:colOff>190500</xdr:colOff>
      <xdr:row>9</xdr:row>
      <xdr:rowOff>45720</xdr:rowOff>
    </xdr:to>
    <xdr:cxnSp macro="">
      <xdr:nvCxnSpPr>
        <xdr:cNvPr id="7" name="直線單箭頭接點 6">
          <a:extLst>
            <a:ext uri="{FF2B5EF4-FFF2-40B4-BE49-F238E27FC236}">
              <a16:creationId xmlns:a16="http://schemas.microsoft.com/office/drawing/2014/main" id="{9E8F998B-6BF3-4256-8862-7FAB54BE15C9}"/>
            </a:ext>
          </a:extLst>
        </xdr:cNvPr>
        <xdr:cNvCxnSpPr/>
      </xdr:nvCxnSpPr>
      <xdr:spPr>
        <a:xfrm flipH="1" flipV="1">
          <a:off x="8122920" y="1653540"/>
          <a:ext cx="289560" cy="10668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3</xdr:row>
      <xdr:rowOff>45720</xdr:rowOff>
    </xdr:from>
    <xdr:to>
      <xdr:col>13</xdr:col>
      <xdr:colOff>157414</xdr:colOff>
      <xdr:row>4</xdr:row>
      <xdr:rowOff>150536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914E2A52-D48B-24BB-BBA1-7200D84AB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" y="617220"/>
          <a:ext cx="8630854" cy="295316"/>
        </a:xfrm>
        <a:prstGeom prst="rect">
          <a:avLst/>
        </a:prstGeom>
      </xdr:spPr>
    </xdr:pic>
    <xdr:clientData/>
  </xdr:twoCellAnchor>
  <xdr:twoCellAnchor>
    <xdr:from>
      <xdr:col>11</xdr:col>
      <xdr:colOff>533400</xdr:colOff>
      <xdr:row>3</xdr:row>
      <xdr:rowOff>76200</xdr:rowOff>
    </xdr:from>
    <xdr:to>
      <xdr:col>13</xdr:col>
      <xdr:colOff>91440</xdr:colOff>
      <xdr:row>4</xdr:row>
      <xdr:rowOff>114300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6C2BE553-97C9-4B3E-B4FA-A959D61456C8}"/>
            </a:ext>
          </a:extLst>
        </xdr:cNvPr>
        <xdr:cNvSpPr/>
      </xdr:nvSpPr>
      <xdr:spPr>
        <a:xfrm>
          <a:off x="8580120" y="647700"/>
          <a:ext cx="1021080" cy="228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449580</xdr:colOff>
      <xdr:row>2</xdr:row>
      <xdr:rowOff>160020</xdr:rowOff>
    </xdr:from>
    <xdr:to>
      <xdr:col>9</xdr:col>
      <xdr:colOff>109150</xdr:colOff>
      <xdr:row>18</xdr:row>
      <xdr:rowOff>179498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FB686915-148E-0466-A594-6DBD93BB9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4140" y="541020"/>
          <a:ext cx="4048690" cy="3067478"/>
        </a:xfrm>
        <a:prstGeom prst="rect">
          <a:avLst/>
        </a:prstGeom>
      </xdr:spPr>
    </xdr:pic>
    <xdr:clientData/>
  </xdr:twoCellAnchor>
  <xdr:twoCellAnchor>
    <xdr:from>
      <xdr:col>7</xdr:col>
      <xdr:colOff>7620</xdr:colOff>
      <xdr:row>5</xdr:row>
      <xdr:rowOff>15240</xdr:rowOff>
    </xdr:from>
    <xdr:to>
      <xdr:col>7</xdr:col>
      <xdr:colOff>312420</xdr:colOff>
      <xdr:row>7</xdr:row>
      <xdr:rowOff>45720</xdr:rowOff>
    </xdr:to>
    <xdr:cxnSp macro="">
      <xdr:nvCxnSpPr>
        <xdr:cNvPr id="6" name="直線單箭頭接點 5">
          <a:extLst>
            <a:ext uri="{FF2B5EF4-FFF2-40B4-BE49-F238E27FC236}">
              <a16:creationId xmlns:a16="http://schemas.microsoft.com/office/drawing/2014/main" id="{C7562088-4E8F-473C-8ED8-EE83EE32A4A4}"/>
            </a:ext>
          </a:extLst>
        </xdr:cNvPr>
        <xdr:cNvCxnSpPr/>
      </xdr:nvCxnSpPr>
      <xdr:spPr>
        <a:xfrm flipH="1" flipV="1">
          <a:off x="5128260" y="967740"/>
          <a:ext cx="304800" cy="41148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278130</xdr:colOff>
      <xdr:row>3</xdr:row>
      <xdr:rowOff>76200</xdr:rowOff>
    </xdr:from>
    <xdr:to>
      <xdr:col>17</xdr:col>
      <xdr:colOff>582930</xdr:colOff>
      <xdr:row>16</xdr:row>
      <xdr:rowOff>144780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90453E2-DF6F-4075-AEA5-E158D6535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708660</xdr:colOff>
      <xdr:row>3</xdr:row>
      <xdr:rowOff>7620</xdr:rowOff>
    </xdr:from>
    <xdr:to>
      <xdr:col>9</xdr:col>
      <xdr:colOff>368230</xdr:colOff>
      <xdr:row>18</xdr:row>
      <xdr:rowOff>189019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B9D35DB9-4F0F-8C52-9010-B13CE6AAF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3220" y="586740"/>
          <a:ext cx="4048690" cy="3038899"/>
        </a:xfrm>
        <a:prstGeom prst="rect">
          <a:avLst/>
        </a:prstGeom>
      </xdr:spPr>
    </xdr:pic>
    <xdr:clientData/>
  </xdr:twoCellAnchor>
  <xdr:twoCellAnchor>
    <xdr:from>
      <xdr:col>6</xdr:col>
      <xdr:colOff>624840</xdr:colOff>
      <xdr:row>2</xdr:row>
      <xdr:rowOff>152400</xdr:rowOff>
    </xdr:from>
    <xdr:to>
      <xdr:col>7</xdr:col>
      <xdr:colOff>167640</xdr:colOff>
      <xdr:row>4</xdr:row>
      <xdr:rowOff>160020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D100F2B3-5C06-48F4-806E-0DA64DDF49D0}"/>
            </a:ext>
          </a:extLst>
        </xdr:cNvPr>
        <xdr:cNvCxnSpPr/>
      </xdr:nvCxnSpPr>
      <xdr:spPr>
        <a:xfrm>
          <a:off x="5013960" y="541020"/>
          <a:ext cx="274320" cy="38862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316230</xdr:colOff>
      <xdr:row>5</xdr:row>
      <xdr:rowOff>15240</xdr:rowOff>
    </xdr:from>
    <xdr:to>
      <xdr:col>19</xdr:col>
      <xdr:colOff>11430</xdr:colOff>
      <xdr:row>18</xdr:row>
      <xdr:rowOff>83820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7A1D31B7-9548-4AD3-A056-EF8356666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449580</xdr:colOff>
      <xdr:row>3</xdr:row>
      <xdr:rowOff>22860</xdr:rowOff>
    </xdr:from>
    <xdr:to>
      <xdr:col>9</xdr:col>
      <xdr:colOff>109150</xdr:colOff>
      <xdr:row>19</xdr:row>
      <xdr:rowOff>13759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D1B7D4DD-54B7-41C9-AACD-99CAD6A21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4140" y="601980"/>
          <a:ext cx="4048690" cy="3038899"/>
        </a:xfrm>
        <a:prstGeom prst="rect">
          <a:avLst/>
        </a:prstGeom>
      </xdr:spPr>
    </xdr:pic>
    <xdr:clientData/>
  </xdr:twoCellAnchor>
  <xdr:twoCellAnchor>
    <xdr:from>
      <xdr:col>5</xdr:col>
      <xdr:colOff>571500</xdr:colOff>
      <xdr:row>7</xdr:row>
      <xdr:rowOff>22860</xdr:rowOff>
    </xdr:from>
    <xdr:to>
      <xdr:col>5</xdr:col>
      <xdr:colOff>693420</xdr:colOff>
      <xdr:row>8</xdr:row>
      <xdr:rowOff>160020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ABA9F15B-F7C8-4405-AF07-1DF48E6C76C3}"/>
            </a:ext>
          </a:extLst>
        </xdr:cNvPr>
        <xdr:cNvCxnSpPr/>
      </xdr:nvCxnSpPr>
      <xdr:spPr>
        <a:xfrm>
          <a:off x="4229100" y="1363980"/>
          <a:ext cx="121920" cy="32766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224790</xdr:colOff>
      <xdr:row>4</xdr:row>
      <xdr:rowOff>68580</xdr:rowOff>
    </xdr:from>
    <xdr:to>
      <xdr:col>18</xdr:col>
      <xdr:colOff>529590</xdr:colOff>
      <xdr:row>17</xdr:row>
      <xdr:rowOff>137160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AD1C44DB-ACC1-46AC-BA09-081F04406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236220</xdr:colOff>
      <xdr:row>7</xdr:row>
      <xdr:rowOff>137160</xdr:rowOff>
    </xdr:from>
    <xdr:to>
      <xdr:col>8</xdr:col>
      <xdr:colOff>627310</xdr:colOff>
      <xdr:row>23</xdr:row>
      <xdr:rowOff>128059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3822830-3F9F-48CD-914F-A3D79588D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0780" y="1478280"/>
          <a:ext cx="4048690" cy="3038899"/>
        </a:xfrm>
        <a:prstGeom prst="rect">
          <a:avLst/>
        </a:prstGeom>
      </xdr:spPr>
    </xdr:pic>
    <xdr:clientData/>
  </xdr:twoCellAnchor>
  <xdr:twoCellAnchor>
    <xdr:from>
      <xdr:col>5</xdr:col>
      <xdr:colOff>434340</xdr:colOff>
      <xdr:row>14</xdr:row>
      <xdr:rowOff>175260</xdr:rowOff>
    </xdr:from>
    <xdr:to>
      <xdr:col>5</xdr:col>
      <xdr:colOff>609600</xdr:colOff>
      <xdr:row>17</xdr:row>
      <xdr:rowOff>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874C23D4-E7AF-4090-94C4-90C2A41892C7}"/>
            </a:ext>
          </a:extLst>
        </xdr:cNvPr>
        <xdr:cNvCxnSpPr/>
      </xdr:nvCxnSpPr>
      <xdr:spPr>
        <a:xfrm>
          <a:off x="4091940" y="2849880"/>
          <a:ext cx="175260" cy="39624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575310</xdr:colOff>
      <xdr:row>4</xdr:row>
      <xdr:rowOff>60960</xdr:rowOff>
    </xdr:from>
    <xdr:to>
      <xdr:col>18</xdr:col>
      <xdr:colOff>270510</xdr:colOff>
      <xdr:row>17</xdr:row>
      <xdr:rowOff>129540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649AC935-3878-49AA-9E63-E90493EC9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8E3A-DEF0-4C97-A1E0-FD7371547529}">
  <dimension ref="A1:H2"/>
  <sheetViews>
    <sheetView workbookViewId="0">
      <selection activeCell="D3" sqref="D3"/>
    </sheetView>
  </sheetViews>
  <sheetFormatPr defaultRowHeight="15.6"/>
  <sheetData>
    <row r="1" spans="1:8">
      <c r="A1" s="2" t="s">
        <v>0</v>
      </c>
      <c r="B1" s="2" t="s">
        <v>1</v>
      </c>
      <c r="C1" s="3" t="s">
        <v>2</v>
      </c>
      <c r="D1" s="1"/>
      <c r="E1" s="1"/>
      <c r="G1" s="1"/>
      <c r="H1" s="1"/>
    </row>
    <row r="2" spans="1:8">
      <c r="A2" s="3" t="s">
        <v>21</v>
      </c>
      <c r="B2" s="3" t="s">
        <v>22</v>
      </c>
      <c r="C2" s="3" t="s">
        <v>23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FA5CC-F4D5-4DCA-B965-6A6E07AA85B7}">
  <dimension ref="A1:C8"/>
  <sheetViews>
    <sheetView tabSelected="1" zoomScale="70" zoomScaleNormal="70" workbookViewId="0">
      <selection activeCell="Q19" sqref="Q19"/>
    </sheetView>
  </sheetViews>
  <sheetFormatPr defaultRowHeight="15.6"/>
  <sheetData>
    <row r="1" spans="1:3">
      <c r="A1" s="3" t="s">
        <v>3</v>
      </c>
      <c r="B1" s="3"/>
      <c r="C1" s="3"/>
    </row>
    <row r="2" spans="1:3">
      <c r="A2" s="3" t="s">
        <v>24</v>
      </c>
      <c r="B2" s="3"/>
      <c r="C2" s="3"/>
    </row>
    <row r="3" spans="1:3">
      <c r="A3" s="3"/>
      <c r="B3" s="3"/>
      <c r="C3" s="3"/>
    </row>
    <row r="4" spans="1:3">
      <c r="A4" s="3"/>
      <c r="B4" s="3"/>
      <c r="C4" s="3"/>
    </row>
    <row r="5" spans="1:3">
      <c r="A5" s="3"/>
      <c r="B5" s="3"/>
      <c r="C5" s="3"/>
    </row>
    <row r="6" spans="1:3">
      <c r="A6" s="3"/>
      <c r="B6" s="3"/>
      <c r="C6" s="3"/>
    </row>
    <row r="8" spans="1:3">
      <c r="B8" s="3" t="s">
        <v>3</v>
      </c>
      <c r="C8">
        <f>0.45255553/10.367144</f>
        <v>4.3652864279689757E-2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B29A6-B6D1-4621-85A4-6F464AD37E92}">
  <dimension ref="C1:E30"/>
  <sheetViews>
    <sheetView topLeftCell="B1" zoomScaleNormal="100" workbookViewId="0">
      <selection activeCell="R21" sqref="R21"/>
    </sheetView>
  </sheetViews>
  <sheetFormatPr defaultRowHeight="15.6"/>
  <sheetData>
    <row r="1" spans="3:5">
      <c r="C1" s="3" t="s">
        <v>4</v>
      </c>
      <c r="D1" s="3" t="s">
        <v>5</v>
      </c>
      <c r="E1" s="3" t="s">
        <v>6</v>
      </c>
    </row>
    <row r="2" spans="3:5">
      <c r="C2" s="9">
        <v>0</v>
      </c>
      <c r="D2" s="9">
        <v>0</v>
      </c>
      <c r="E2" s="3" t="s">
        <v>20</v>
      </c>
    </row>
    <row r="3" spans="3:5">
      <c r="C3" s="9">
        <v>7.8125086479954198E-2</v>
      </c>
      <c r="D3" s="9">
        <v>2.4096476562758</v>
      </c>
      <c r="E3" s="3" t="s">
        <v>20</v>
      </c>
    </row>
    <row r="4" spans="3:5">
      <c r="C4" s="9">
        <v>0.167410717136701</v>
      </c>
      <c r="D4" s="9">
        <v>5.1204840345087099</v>
      </c>
      <c r="E4" s="3" t="s">
        <v>20</v>
      </c>
    </row>
    <row r="5" spans="3:5">
      <c r="C5" s="9">
        <v>0.245535803616656</v>
      </c>
      <c r="D5" s="9">
        <v>7.8313319027931696</v>
      </c>
      <c r="E5" s="3" t="s">
        <v>20</v>
      </c>
    </row>
    <row r="6" spans="3:5">
      <c r="C6" s="9">
        <v>0.334821434273403</v>
      </c>
      <c r="D6" s="9">
        <v>10.090367963013</v>
      </c>
      <c r="E6" s="3" t="s">
        <v>20</v>
      </c>
    </row>
    <row r="7" spans="3:5">
      <c r="C7" s="9">
        <v>0.44642857903120398</v>
      </c>
      <c r="D7" s="9">
        <v>13.403616255314899</v>
      </c>
      <c r="E7" s="3" t="s">
        <v>20</v>
      </c>
    </row>
    <row r="8" spans="3:5">
      <c r="C8" s="9">
        <v>0.55803572378900501</v>
      </c>
      <c r="D8" s="9">
        <v>16.867476143672601</v>
      </c>
      <c r="E8" s="3" t="s">
        <v>20</v>
      </c>
    </row>
    <row r="9" spans="3:5">
      <c r="C9" s="9">
        <v>0.68080341272359901</v>
      </c>
      <c r="D9" s="9">
        <v>20.331318796953099</v>
      </c>
      <c r="E9" s="3" t="s">
        <v>20</v>
      </c>
    </row>
    <row r="10" spans="3:5">
      <c r="C10" s="9">
        <v>0.80357110165819201</v>
      </c>
      <c r="D10" s="9">
        <v>23.6445843243323</v>
      </c>
      <c r="E10" s="3" t="s">
        <v>20</v>
      </c>
    </row>
    <row r="11" spans="3:5">
      <c r="C11" s="9">
        <v>0.95982127461810196</v>
      </c>
      <c r="D11" s="9">
        <v>27.409644424698701</v>
      </c>
      <c r="E11" s="3" t="s">
        <v>20</v>
      </c>
    </row>
    <row r="12" spans="3:5">
      <c r="C12" s="9">
        <v>1.08258896355269</v>
      </c>
      <c r="D12" s="9">
        <v>31.174704525065199</v>
      </c>
      <c r="E12" s="3" t="s">
        <v>20</v>
      </c>
    </row>
    <row r="13" spans="3:5">
      <c r="C13" s="9">
        <v>1.22767859233581</v>
      </c>
      <c r="D13" s="9">
        <v>35.692776645504999</v>
      </c>
      <c r="E13" s="3" t="s">
        <v>20</v>
      </c>
    </row>
    <row r="14" spans="3:5">
      <c r="C14" s="9">
        <v>1.3950893094725101</v>
      </c>
      <c r="D14" s="9">
        <v>39.909642808910199</v>
      </c>
      <c r="E14" s="3" t="s">
        <v>20</v>
      </c>
    </row>
    <row r="15" spans="3:5">
      <c r="C15" s="9">
        <v>1.5736605707860001</v>
      </c>
      <c r="D15" s="9">
        <v>44.126508972315499</v>
      </c>
      <c r="E15" s="3" t="s">
        <v>20</v>
      </c>
    </row>
    <row r="16" spans="3:5">
      <c r="C16" s="9">
        <v>1.7857143161248099</v>
      </c>
      <c r="D16" s="9">
        <v>49.096387155794098</v>
      </c>
      <c r="E16" s="3" t="s">
        <v>20</v>
      </c>
    </row>
    <row r="17" spans="3:5">
      <c r="C17" s="9">
        <v>1.99776806146363</v>
      </c>
      <c r="D17" s="9">
        <v>54.367471296307102</v>
      </c>
      <c r="E17" s="3" t="s">
        <v>20</v>
      </c>
    </row>
    <row r="18" spans="3:5">
      <c r="C18" s="9">
        <v>2.2544639835095999</v>
      </c>
      <c r="D18" s="9">
        <v>60.090367244884803</v>
      </c>
      <c r="E18" s="3" t="s">
        <v>20</v>
      </c>
    </row>
    <row r="19" spans="3:5">
      <c r="C19" s="9">
        <v>2.5223213012273198</v>
      </c>
      <c r="D19" s="9">
        <v>66.566269468510001</v>
      </c>
      <c r="E19" s="3" t="s">
        <v>20</v>
      </c>
    </row>
    <row r="20" spans="3:5">
      <c r="C20" s="9">
        <v>2.8013391631218201</v>
      </c>
      <c r="D20" s="9">
        <v>72.138556693544601</v>
      </c>
      <c r="E20" s="3" t="s">
        <v>20</v>
      </c>
    </row>
    <row r="21" spans="3:5">
      <c r="C21" s="9">
        <v>3.0803570250163199</v>
      </c>
      <c r="D21" s="9">
        <v>78.012049875613698</v>
      </c>
      <c r="E21" s="3" t="s">
        <v>20</v>
      </c>
    </row>
    <row r="22" spans="3:5">
      <c r="C22" s="9">
        <v>3.4709820316686302</v>
      </c>
      <c r="D22" s="9">
        <v>85.993979011898304</v>
      </c>
      <c r="E22" s="3" t="s">
        <v>20</v>
      </c>
    </row>
    <row r="23" spans="3:5">
      <c r="C23" s="9">
        <v>3.8504464941441401</v>
      </c>
      <c r="D23" s="9">
        <v>93.222891819340305</v>
      </c>
      <c r="E23" s="3" t="s">
        <v>20</v>
      </c>
    </row>
    <row r="24" spans="3:5">
      <c r="C24" s="9">
        <v>4.2075890167711201</v>
      </c>
      <c r="D24" s="9">
        <v>99.246987979926701</v>
      </c>
      <c r="E24" s="3" t="s">
        <v>20</v>
      </c>
    </row>
    <row r="25" spans="3:5">
      <c r="C25" s="7"/>
      <c r="D25" s="7"/>
      <c r="E25" s="3"/>
    </row>
    <row r="26" spans="3:5">
      <c r="C26" s="7"/>
      <c r="D26" s="7"/>
      <c r="E26" s="3"/>
    </row>
    <row r="27" spans="3:5">
      <c r="C27" s="7"/>
      <c r="D27" s="7"/>
      <c r="E27" s="3"/>
    </row>
    <row r="28" spans="3:5">
      <c r="C28" s="7"/>
      <c r="D28" s="7"/>
      <c r="E28" s="3"/>
    </row>
    <row r="29" spans="3:5">
      <c r="C29" s="7"/>
      <c r="D29" s="7"/>
      <c r="E29" s="3"/>
    </row>
    <row r="30" spans="3:5">
      <c r="C30" s="7"/>
      <c r="D30" s="7"/>
      <c r="E30" s="3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553A8-4287-421F-B1D0-FD11C5C67EE6}">
  <dimension ref="A1:K13"/>
  <sheetViews>
    <sheetView zoomScale="115" zoomScaleNormal="115" workbookViewId="0">
      <selection activeCell="C18" sqref="C18"/>
    </sheetView>
  </sheetViews>
  <sheetFormatPr defaultRowHeight="15.6"/>
  <sheetData>
    <row r="1" spans="1:11">
      <c r="A1" s="3" t="s">
        <v>7</v>
      </c>
      <c r="B1" s="3"/>
    </row>
    <row r="2" spans="1:11">
      <c r="A2" s="8">
        <v>1.7</v>
      </c>
      <c r="B2" s="3"/>
    </row>
    <row r="3" spans="1:11">
      <c r="A3" s="3"/>
      <c r="B3" s="3"/>
    </row>
    <row r="4" spans="1:11">
      <c r="A4" s="3"/>
      <c r="B4" s="3"/>
    </row>
    <row r="5" spans="1:11">
      <c r="A5" s="3"/>
      <c r="B5" s="3"/>
    </row>
    <row r="13" spans="1:11">
      <c r="K13" s="6"/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F4521-2324-454D-B6F2-618BE3299634}">
  <dimension ref="C1:E28"/>
  <sheetViews>
    <sheetView topLeftCell="B1" workbookViewId="0">
      <selection activeCell="P22" sqref="P22"/>
    </sheetView>
  </sheetViews>
  <sheetFormatPr defaultRowHeight="15.6"/>
  <cols>
    <col min="4" max="4" width="10.796875" bestFit="1" customWidth="1"/>
  </cols>
  <sheetData>
    <row r="1" spans="3:5">
      <c r="C1" s="2" t="s">
        <v>8</v>
      </c>
      <c r="D1" s="2" t="s">
        <v>5</v>
      </c>
      <c r="E1" s="3" t="s">
        <v>9</v>
      </c>
    </row>
    <row r="2" spans="3:5">
      <c r="C2" s="9">
        <v>0</v>
      </c>
      <c r="D2" s="9">
        <v>0</v>
      </c>
      <c r="E2" s="3">
        <v>20</v>
      </c>
    </row>
    <row r="3" spans="3:5">
      <c r="C3" s="9">
        <v>3.6858974528788102</v>
      </c>
      <c r="D3" s="10">
        <v>1.0000000000000001E-9</v>
      </c>
      <c r="E3" s="3">
        <v>20</v>
      </c>
    </row>
    <row r="4" spans="3:5">
      <c r="C4" s="9">
        <v>4.18803382576478</v>
      </c>
      <c r="D4" s="9">
        <v>0.32110417166440902</v>
      </c>
      <c r="E4" s="3">
        <v>20</v>
      </c>
    </row>
    <row r="5" spans="3:5">
      <c r="C5" s="9">
        <v>4.5940170147706603</v>
      </c>
      <c r="D5" s="9">
        <v>0.96330434897490602</v>
      </c>
      <c r="E5" s="3">
        <v>20</v>
      </c>
    </row>
    <row r="6" spans="3:5">
      <c r="C6" s="9">
        <v>5.1175213958236601</v>
      </c>
      <c r="D6" s="9">
        <v>1.8195766960677799</v>
      </c>
      <c r="E6" s="3">
        <v>20</v>
      </c>
    </row>
    <row r="7" spans="3:5">
      <c r="C7" s="9">
        <v>5.5982905756487602</v>
      </c>
      <c r="D7" s="9">
        <v>2.9969450488067602</v>
      </c>
      <c r="E7" s="3">
        <v>20</v>
      </c>
    </row>
    <row r="8" spans="3:5">
      <c r="C8" s="9">
        <v>6.0363245542459403</v>
      </c>
      <c r="D8" s="9">
        <v>4.70948157697421</v>
      </c>
      <c r="E8" s="3">
        <v>20</v>
      </c>
    </row>
    <row r="9" spans="3:5">
      <c r="C9" s="9">
        <v>6.3568373407960097</v>
      </c>
      <c r="D9" s="9">
        <v>6.3149861032596197</v>
      </c>
      <c r="E9" s="3">
        <v>20</v>
      </c>
    </row>
    <row r="10" spans="3:5">
      <c r="C10" s="9">
        <v>6.6666665308156299</v>
      </c>
      <c r="D10" s="9">
        <v>8.5626908068555494</v>
      </c>
      <c r="E10" s="3">
        <v>20</v>
      </c>
    </row>
    <row r="11" spans="3:5">
      <c r="C11" s="9">
        <v>6.9337605196073504</v>
      </c>
      <c r="D11" s="9">
        <v>10.917435678351801</v>
      </c>
      <c r="E11" s="3">
        <v>20</v>
      </c>
    </row>
    <row r="12" spans="3:5">
      <c r="C12" s="9">
        <v>7.1794865002320396</v>
      </c>
      <c r="D12" s="9">
        <v>13.058108380065599</v>
      </c>
      <c r="E12" s="3">
        <v>20</v>
      </c>
    </row>
    <row r="13" spans="3:5">
      <c r="C13" s="9">
        <v>7.4999992867821001</v>
      </c>
      <c r="D13" s="9">
        <v>16.697249523173699</v>
      </c>
      <c r="E13" s="3">
        <v>20</v>
      </c>
    </row>
    <row r="14" spans="3:5">
      <c r="C14" s="9">
        <v>7.7243588894520796</v>
      </c>
      <c r="D14" s="9">
        <v>20.1223266625178</v>
      </c>
      <c r="E14" s="3">
        <v>20</v>
      </c>
    </row>
    <row r="15" spans="3:5">
      <c r="C15" s="9">
        <v>7.9380340804854503</v>
      </c>
      <c r="D15" s="9">
        <v>23.4403717999798</v>
      </c>
      <c r="E15" s="3">
        <v>20</v>
      </c>
    </row>
    <row r="16" spans="3:5">
      <c r="C16" s="9">
        <v>8.1623920529430993</v>
      </c>
      <c r="D16" s="9">
        <v>27.507649116634401</v>
      </c>
      <c r="E16" s="3">
        <v>20</v>
      </c>
    </row>
    <row r="17" spans="3:5">
      <c r="C17" s="9">
        <v>8.3547000509156</v>
      </c>
      <c r="D17" s="9">
        <v>31.253826344633701</v>
      </c>
      <c r="E17" s="3">
        <v>20</v>
      </c>
    </row>
    <row r="18" spans="3:5">
      <c r="C18" s="9">
        <v>8.5683752419489796</v>
      </c>
      <c r="D18" s="9">
        <v>36.177371925371901</v>
      </c>
      <c r="E18" s="3">
        <v>20</v>
      </c>
    </row>
    <row r="19" spans="3:5">
      <c r="C19" s="9">
        <v>8.71794885379974</v>
      </c>
      <c r="D19" s="9">
        <v>40.4587173287997</v>
      </c>
      <c r="E19" s="3">
        <v>20</v>
      </c>
    </row>
    <row r="20" spans="3:5">
      <c r="C20" s="9">
        <v>8.8888880284990393</v>
      </c>
      <c r="D20" s="9">
        <v>45.489298994429198</v>
      </c>
      <c r="E20" s="3">
        <v>20</v>
      </c>
    </row>
    <row r="21" spans="3:5">
      <c r="C21" s="9">
        <v>9.0705116148349401</v>
      </c>
      <c r="D21" s="9">
        <v>51.376148924142299</v>
      </c>
      <c r="E21" s="3">
        <v>20</v>
      </c>
    </row>
    <row r="22" spans="3:5">
      <c r="C22" s="9">
        <v>9.2307680081099797</v>
      </c>
      <c r="D22" s="9">
        <v>57.2629988538555</v>
      </c>
      <c r="E22" s="3">
        <v>20</v>
      </c>
    </row>
    <row r="23" spans="3:5">
      <c r="C23" s="9">
        <v>9.4017088130216102</v>
      </c>
      <c r="D23" s="9">
        <v>63.577981894858297</v>
      </c>
      <c r="E23" s="3">
        <v>20</v>
      </c>
    </row>
    <row r="24" spans="3:5">
      <c r="C24" s="9">
        <v>9.5405980132357708</v>
      </c>
      <c r="D24" s="9">
        <v>69.571866888710403</v>
      </c>
      <c r="E24" s="3">
        <v>20</v>
      </c>
    </row>
    <row r="25" spans="3:5">
      <c r="C25" s="7"/>
      <c r="D25" s="7"/>
      <c r="E25" s="3"/>
    </row>
    <row r="26" spans="3:5">
      <c r="C26" s="7"/>
      <c r="D26" s="7"/>
      <c r="E26" s="3"/>
    </row>
    <row r="27" spans="3:5">
      <c r="C27" s="7"/>
      <c r="D27" s="7"/>
      <c r="E27" s="3"/>
    </row>
    <row r="28" spans="3:5">
      <c r="E28" s="3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A8861-054E-4F2A-BB56-EFC5222BB14F}">
  <dimension ref="A1:B4"/>
  <sheetViews>
    <sheetView workbookViewId="0">
      <selection activeCell="K13" sqref="K13"/>
    </sheetView>
  </sheetViews>
  <sheetFormatPr defaultRowHeight="15.6"/>
  <sheetData>
    <row r="1" spans="1:2">
      <c r="A1" s="3" t="s">
        <v>10</v>
      </c>
      <c r="B1" s="3"/>
    </row>
    <row r="2" spans="1:2">
      <c r="A2" s="3">
        <v>3.5</v>
      </c>
      <c r="B2" s="3"/>
    </row>
    <row r="3" spans="1:2">
      <c r="A3" s="3"/>
      <c r="B3" s="3"/>
    </row>
    <row r="4" spans="1:2">
      <c r="A4" s="3"/>
      <c r="B4" s="3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B614-8864-4923-A89E-50D43D25E344}">
  <dimension ref="A1:C31"/>
  <sheetViews>
    <sheetView workbookViewId="0">
      <selection activeCell="G25" sqref="G25"/>
    </sheetView>
  </sheetViews>
  <sheetFormatPr defaultRowHeight="15.6"/>
  <sheetData>
    <row r="1" spans="1:3">
      <c r="A1" s="3" t="s">
        <v>11</v>
      </c>
      <c r="B1" s="3" t="s">
        <v>12</v>
      </c>
      <c r="C1" s="3" t="s">
        <v>13</v>
      </c>
    </row>
    <row r="2" spans="1:3">
      <c r="A2" s="9">
        <v>0</v>
      </c>
      <c r="B2" s="9">
        <v>0</v>
      </c>
      <c r="C2" s="3">
        <v>25</v>
      </c>
    </row>
    <row r="3" spans="1:3">
      <c r="A3">
        <v>1.11590652886484</v>
      </c>
      <c r="B3" s="11">
        <v>1.0000000000000001E-9</v>
      </c>
      <c r="C3" s="3">
        <v>25</v>
      </c>
    </row>
    <row r="4" spans="1:3">
      <c r="A4">
        <v>1.36251541415775</v>
      </c>
      <c r="B4" s="11">
        <v>2.0000000000000001E-9</v>
      </c>
      <c r="C4" s="3">
        <v>25</v>
      </c>
    </row>
    <row r="5" spans="1:3">
      <c r="A5">
        <v>1.70776844152979</v>
      </c>
      <c r="B5">
        <v>0.18450211446933801</v>
      </c>
      <c r="C5" s="3">
        <v>25</v>
      </c>
    </row>
    <row r="6" spans="1:3">
      <c r="A6">
        <v>1.8988901806413101</v>
      </c>
      <c r="B6">
        <v>0.44280533865842597</v>
      </c>
      <c r="C6" s="3">
        <v>25</v>
      </c>
    </row>
    <row r="7" spans="1:3">
      <c r="A7">
        <v>2.0468555118170602</v>
      </c>
      <c r="B7">
        <v>0.81180912771041103</v>
      </c>
      <c r="C7" s="3">
        <v>25</v>
      </c>
    </row>
    <row r="8" spans="1:3">
      <c r="A8">
        <v>2.1824906927091399</v>
      </c>
      <c r="B8">
        <v>1.4391139415180301</v>
      </c>
      <c r="C8" s="3">
        <v>25</v>
      </c>
    </row>
    <row r="9" spans="1:3">
      <c r="A9">
        <v>2.2811342468263098</v>
      </c>
      <c r="B9">
        <v>2.06642051487241</v>
      </c>
      <c r="C9" s="3">
        <v>25</v>
      </c>
    </row>
    <row r="10" spans="1:3">
      <c r="A10">
        <v>2.3674470626978499</v>
      </c>
      <c r="B10">
        <v>2.7675277580598499</v>
      </c>
      <c r="C10" s="3">
        <v>25</v>
      </c>
    </row>
    <row r="11" spans="1:3">
      <c r="A11">
        <v>2.4475956853705001</v>
      </c>
      <c r="B11">
        <v>3.6531366758299399</v>
      </c>
      <c r="C11" s="3">
        <v>25</v>
      </c>
    </row>
    <row r="12" spans="1:3">
      <c r="A12">
        <v>2.5092476127127399</v>
      </c>
      <c r="B12">
        <v>4.5756459285165603</v>
      </c>
      <c r="C12" s="3">
        <v>25</v>
      </c>
    </row>
    <row r="13" spans="1:3">
      <c r="A13">
        <v>2.5709001280169499</v>
      </c>
      <c r="B13">
        <v>5.4981551812031801</v>
      </c>
      <c r="C13" s="3">
        <v>25</v>
      </c>
    </row>
    <row r="14" spans="1:3">
      <c r="A14">
        <v>2.6387174244820102</v>
      </c>
      <c r="B14">
        <v>6.5313663184127702</v>
      </c>
      <c r="C14" s="3">
        <v>25</v>
      </c>
    </row>
    <row r="15" spans="1:3">
      <c r="A15">
        <v>2.68187442037974</v>
      </c>
      <c r="B15">
        <v>7.45387557109939</v>
      </c>
      <c r="C15" s="3">
        <v>25</v>
      </c>
    </row>
    <row r="16" spans="1:3">
      <c r="A16">
        <v>2.7373609785991802</v>
      </c>
      <c r="B16">
        <v>8.5239852836787406</v>
      </c>
      <c r="C16" s="3">
        <v>25</v>
      </c>
    </row>
    <row r="17" spans="1:3">
      <c r="A17">
        <v>2.7990129059414302</v>
      </c>
      <c r="B17">
        <v>9.2988940764726298</v>
      </c>
      <c r="C17" s="3">
        <v>25</v>
      </c>
    </row>
    <row r="18" spans="1:3">
      <c r="A18">
        <v>2.8606654212456402</v>
      </c>
      <c r="B18">
        <v>10.2583027843024</v>
      </c>
      <c r="C18" s="3">
        <v>25</v>
      </c>
    </row>
    <row r="19" spans="1:3">
      <c r="A19">
        <v>2.9161531553889901</v>
      </c>
      <c r="B19">
        <v>11.1070113671559</v>
      </c>
      <c r="C19" s="3">
        <v>25</v>
      </c>
    </row>
    <row r="20" spans="1:3">
      <c r="A20">
        <v>2.9716397136084298</v>
      </c>
      <c r="B20">
        <v>11.918820494866299</v>
      </c>
      <c r="C20" s="3">
        <v>25</v>
      </c>
    </row>
    <row r="21" spans="1:3">
      <c r="A21">
        <v>3.0394575980354501</v>
      </c>
      <c r="B21">
        <v>12.988929327672301</v>
      </c>
      <c r="C21" s="3">
        <v>25</v>
      </c>
    </row>
    <row r="22" spans="1:3">
      <c r="A22">
        <v>3.1011095253777001</v>
      </c>
      <c r="B22">
        <v>13.874539125215801</v>
      </c>
      <c r="C22" s="3">
        <v>25</v>
      </c>
    </row>
    <row r="23" spans="1:3">
      <c r="A23">
        <v>3.1627620406819101</v>
      </c>
      <c r="B23">
        <v>14.870850807282199</v>
      </c>
      <c r="C23" s="3">
        <v>25</v>
      </c>
    </row>
    <row r="24" spans="1:3">
      <c r="A24">
        <v>3.23057933714697</v>
      </c>
      <c r="B24">
        <v>16.014760309921201</v>
      </c>
      <c r="C24" s="3">
        <v>25</v>
      </c>
    </row>
    <row r="25" spans="1:3">
      <c r="A25">
        <v>3.29223126448922</v>
      </c>
      <c r="B25">
        <v>17.0479696875841</v>
      </c>
      <c r="C25" s="3">
        <v>25</v>
      </c>
    </row>
    <row r="26" spans="1:3">
      <c r="A26">
        <v>3.3415536295097601</v>
      </c>
      <c r="B26">
        <v>18.081180824793702</v>
      </c>
      <c r="C26" s="3">
        <v>25</v>
      </c>
    </row>
    <row r="27" spans="1:3">
      <c r="A27">
        <v>3.3908754065683402</v>
      </c>
      <c r="B27">
        <v>18.929891167194</v>
      </c>
      <c r="C27" s="3">
        <v>25</v>
      </c>
    </row>
    <row r="28" spans="1:3">
      <c r="A28">
        <v>3.4155357071356698</v>
      </c>
      <c r="B28">
        <v>20</v>
      </c>
      <c r="C28" s="3">
        <v>25</v>
      </c>
    </row>
    <row r="29" spans="1:3">
      <c r="A29" s="9"/>
      <c r="B29" s="9"/>
      <c r="C29" s="3"/>
    </row>
    <row r="30" spans="1:3">
      <c r="A30" s="7"/>
      <c r="B30" s="7"/>
      <c r="C30" s="3"/>
    </row>
    <row r="31" spans="1:3">
      <c r="A31" s="7"/>
      <c r="B31" s="7"/>
      <c r="C31" s="3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C9A34-A96F-47D2-9587-82DA3E239B23}">
  <dimension ref="A1:B27"/>
  <sheetViews>
    <sheetView zoomScaleNormal="100" workbookViewId="0">
      <selection activeCell="K10" sqref="K10"/>
    </sheetView>
  </sheetViews>
  <sheetFormatPr defaultRowHeight="15.6"/>
  <sheetData>
    <row r="1" spans="1:2" ht="15.9" thickBot="1">
      <c r="A1" s="4" t="s">
        <v>14</v>
      </c>
      <c r="B1" s="5" t="s">
        <v>15</v>
      </c>
    </row>
    <row r="2" spans="1:2">
      <c r="A2" s="9">
        <v>2.1459308274266302</v>
      </c>
      <c r="B2" s="9">
        <v>3773.00295136976</v>
      </c>
    </row>
    <row r="3" spans="1:2">
      <c r="A3" s="9">
        <v>7.5107374308801198</v>
      </c>
      <c r="B3" s="9">
        <v>2967.5129359845</v>
      </c>
    </row>
    <row r="4" spans="1:2">
      <c r="A4" s="9">
        <v>27.896977965867599</v>
      </c>
      <c r="B4" s="9">
        <v>3009.7305285310799</v>
      </c>
    </row>
    <row r="5" spans="1:2">
      <c r="A5" s="9">
        <v>59.012872637988202</v>
      </c>
      <c r="B5" s="9">
        <v>3009.7305285310799</v>
      </c>
    </row>
    <row r="6" spans="1:2">
      <c r="A6" s="9">
        <v>83.690974827828995</v>
      </c>
      <c r="B6" s="9">
        <v>3009.7305285310799</v>
      </c>
    </row>
    <row r="7" spans="1:2">
      <c r="A7" s="9">
        <v>108.369077017669</v>
      </c>
      <c r="B7" s="9">
        <v>3052.5487334958202</v>
      </c>
    </row>
    <row r="8" spans="1:2">
      <c r="A8" s="9">
        <v>143.77683334464299</v>
      </c>
      <c r="B8" s="9">
        <v>3009.7305285310799</v>
      </c>
    </row>
    <row r="9" spans="1:2">
      <c r="A9" s="9">
        <v>184.54931441461801</v>
      </c>
      <c r="B9" s="9">
        <v>3009.7305285310799</v>
      </c>
    </row>
    <row r="10" spans="1:2">
      <c r="A10" s="9">
        <v>228.540794051299</v>
      </c>
      <c r="B10" s="9">
        <v>2967.5129359845</v>
      </c>
    </row>
    <row r="11" spans="1:2">
      <c r="A11" s="9">
        <v>272.53219182752701</v>
      </c>
      <c r="B11" s="9">
        <v>2967.5129359845</v>
      </c>
    </row>
    <row r="12" spans="1:2">
      <c r="A12" s="9">
        <v>316.523589603755</v>
      </c>
      <c r="B12" s="9">
        <v>2967.5129359845</v>
      </c>
    </row>
    <row r="13" spans="1:2">
      <c r="A13" s="9">
        <v>358.36909748278202</v>
      </c>
      <c r="B13" s="9">
        <v>2967.5129359845</v>
      </c>
    </row>
    <row r="14" spans="1:2">
      <c r="A14" s="9">
        <v>399.14157855275698</v>
      </c>
      <c r="B14" s="9">
        <v>2967.5129359845</v>
      </c>
    </row>
    <row r="15" spans="1:2">
      <c r="A15" s="9">
        <v>439.91414148318501</v>
      </c>
      <c r="B15" s="9">
        <v>2967.5129359845</v>
      </c>
    </row>
    <row r="16" spans="1:2">
      <c r="A16" s="9">
        <v>478.540732655959</v>
      </c>
      <c r="B16" s="9">
        <v>2967.5129359845</v>
      </c>
    </row>
    <row r="17" spans="1:2">
      <c r="A17" s="9">
        <v>519.31329558638697</v>
      </c>
      <c r="B17" s="9">
        <v>2967.5129359845</v>
      </c>
    </row>
    <row r="18" spans="1:2">
      <c r="A18" s="9">
        <v>563.30469336261501</v>
      </c>
      <c r="B18" s="9">
        <v>2967.5129359845</v>
      </c>
    </row>
    <row r="19" spans="1:2">
      <c r="A19" s="9">
        <v>609.44206289649605</v>
      </c>
      <c r="B19" s="9">
        <v>2967.5129359845</v>
      </c>
    </row>
    <row r="20" spans="1:2">
      <c r="A20" s="9">
        <v>656.65229551852497</v>
      </c>
      <c r="B20" s="9">
        <v>2967.5129359845</v>
      </c>
    </row>
    <row r="21" spans="1:2">
      <c r="A21" s="9">
        <v>707.08152670725894</v>
      </c>
      <c r="B21" s="9">
        <v>2967.5129359845</v>
      </c>
    </row>
    <row r="22" spans="1:2">
      <c r="A22" s="9">
        <v>749.99997953488605</v>
      </c>
      <c r="B22" s="9">
        <v>2967.5129359845</v>
      </c>
    </row>
    <row r="23" spans="1:2">
      <c r="A23" s="9">
        <v>798.28323896596805</v>
      </c>
      <c r="B23" s="9">
        <v>2967.5129359845</v>
      </c>
    </row>
    <row r="24" spans="1:2">
      <c r="A24" s="9">
        <v>846.56649839704903</v>
      </c>
      <c r="B24" s="9">
        <v>2967.5129359845</v>
      </c>
    </row>
    <row r="25" spans="1:2">
      <c r="A25" s="9">
        <v>898.06867453438394</v>
      </c>
      <c r="B25" s="9">
        <v>2967.5129359845</v>
      </c>
    </row>
    <row r="26" spans="1:2">
      <c r="A26" s="9">
        <v>948.49782386266497</v>
      </c>
      <c r="B26" s="9">
        <v>2967.5129359845</v>
      </c>
    </row>
    <row r="27" spans="1:2">
      <c r="A27" s="9">
        <v>993.56216658749395</v>
      </c>
      <c r="B27" s="9">
        <v>2967.5129359845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4037-7AF4-4085-978E-00C1878B509E}">
  <dimension ref="A1:B31"/>
  <sheetViews>
    <sheetView workbookViewId="0">
      <selection activeCell="K26" sqref="K26"/>
    </sheetView>
  </sheetViews>
  <sheetFormatPr defaultRowHeight="15.6"/>
  <sheetData>
    <row r="1" spans="1:2" ht="15.9" thickBot="1">
      <c r="A1" s="4" t="s">
        <v>14</v>
      </c>
      <c r="B1" s="5" t="s">
        <v>16</v>
      </c>
    </row>
    <row r="2" spans="1:2">
      <c r="A2" s="9">
        <v>3.21887577602689</v>
      </c>
      <c r="B2" s="9">
        <v>3773.00295136976</v>
      </c>
    </row>
    <row r="3" spans="1:2">
      <c r="A3" s="9">
        <v>3.21887577602689</v>
      </c>
      <c r="B3" s="9">
        <v>2367.1904842957802</v>
      </c>
    </row>
    <row r="4" spans="1:2">
      <c r="A4" s="9">
        <v>7.5107374308801198</v>
      </c>
      <c r="B4" s="9">
        <v>1527.73889694785</v>
      </c>
    </row>
    <row r="5" spans="1:2">
      <c r="A5" s="9">
        <v>13.948488982933799</v>
      </c>
      <c r="B5" s="9">
        <v>985.97256748225504</v>
      </c>
    </row>
    <row r="6" spans="1:2">
      <c r="A6" s="9">
        <v>25.751047138440999</v>
      </c>
      <c r="B6" s="9">
        <v>692.61293892900096</v>
      </c>
    </row>
    <row r="7" spans="1:2">
      <c r="A7" s="9">
        <v>38.626591172774603</v>
      </c>
      <c r="B7" s="9">
        <v>522.14511038527996</v>
      </c>
    </row>
    <row r="8" spans="1:2">
      <c r="A8" s="9">
        <v>57.939886759161801</v>
      </c>
      <c r="B8" s="9">
        <v>422.44159783362397</v>
      </c>
    </row>
    <row r="9" spans="1:2">
      <c r="A9" s="9">
        <v>84.763919776429304</v>
      </c>
      <c r="B9" s="9">
        <v>346.63895318731397</v>
      </c>
    </row>
    <row r="10" spans="1:2">
      <c r="A10" s="9">
        <v>119.098690224576</v>
      </c>
      <c r="B10" s="9">
        <v>296.751253620478</v>
      </c>
    </row>
    <row r="11" spans="1:2">
      <c r="A11" s="9">
        <v>157.72528139735101</v>
      </c>
      <c r="B11" s="9">
        <v>265.04087404356699</v>
      </c>
    </row>
    <row r="12" spans="1:2">
      <c r="A12" s="9">
        <v>206.00854082843199</v>
      </c>
      <c r="B12" s="9">
        <v>226.89675610054601</v>
      </c>
    </row>
    <row r="13" spans="1:2">
      <c r="A13" s="9">
        <v>252.145910362313</v>
      </c>
      <c r="B13" s="9">
        <v>211.42358888394199</v>
      </c>
    </row>
    <row r="14" spans="1:2">
      <c r="A14" s="9">
        <v>302.57505969059503</v>
      </c>
      <c r="B14" s="9">
        <v>197.00561041409401</v>
      </c>
    </row>
    <row r="15" spans="1:2">
      <c r="A15" s="9">
        <v>344.42056756962302</v>
      </c>
      <c r="B15" s="9">
        <v>180.99585885936901</v>
      </c>
    </row>
    <row r="16" spans="1:2">
      <c r="A16" s="9">
        <v>386.26607544864999</v>
      </c>
      <c r="B16" s="9">
        <v>171.05229357017001</v>
      </c>
    </row>
    <row r="17" spans="1:2">
      <c r="A17" s="9">
        <v>432.40344498253103</v>
      </c>
      <c r="B17" s="9">
        <v>166.28723673740899</v>
      </c>
    </row>
    <row r="18" spans="1:2">
      <c r="A18" s="9">
        <v>484.97848420801301</v>
      </c>
      <c r="B18" s="9">
        <v>154.947320450175</v>
      </c>
    </row>
    <row r="19" spans="1:2">
      <c r="A19" s="9">
        <v>533.26174363909502</v>
      </c>
      <c r="B19" s="9">
        <v>152.7739102763</v>
      </c>
    </row>
    <row r="20" spans="1:2">
      <c r="A20" s="9">
        <v>593.34764308613501</v>
      </c>
      <c r="B20" s="9">
        <v>142.355531888412</v>
      </c>
    </row>
    <row r="21" spans="1:2">
      <c r="A21" s="9">
        <v>655.57935056992403</v>
      </c>
      <c r="B21" s="9">
        <v>136.448653196603</v>
      </c>
    </row>
    <row r="22" spans="1:2">
      <c r="A22" s="9">
        <v>718.88408486276603</v>
      </c>
      <c r="B22" s="9">
        <v>132.64763219441201</v>
      </c>
    </row>
    <row r="23" spans="1:2">
      <c r="A23" s="9">
        <v>787.55362575906099</v>
      </c>
      <c r="B23" s="9">
        <v>128.952425933537</v>
      </c>
    </row>
    <row r="24" spans="1:2">
      <c r="A24" s="9">
        <v>855.15022170675604</v>
      </c>
      <c r="B24" s="9">
        <v>130.78694410462401</v>
      </c>
    </row>
    <row r="25" spans="1:2">
      <c r="A25" s="9">
        <v>930.25751415510399</v>
      </c>
      <c r="B25" s="9">
        <v>130.78694410462401</v>
      </c>
    </row>
    <row r="26" spans="1:2">
      <c r="A26" s="9">
        <v>994.63519339654601</v>
      </c>
      <c r="B26" s="9">
        <v>130.78694410462401</v>
      </c>
    </row>
    <row r="27" spans="1:2">
      <c r="A27" s="7"/>
      <c r="B27" s="7"/>
    </row>
    <row r="28" spans="1:2">
      <c r="A28" s="7"/>
      <c r="B28" s="7"/>
    </row>
    <row r="29" spans="1:2">
      <c r="A29" s="7"/>
      <c r="B29" s="7"/>
    </row>
    <row r="30" spans="1:2">
      <c r="A30" s="7"/>
      <c r="B30" s="7"/>
    </row>
    <row r="31" spans="1:2">
      <c r="A31" s="7"/>
      <c r="B31" s="7"/>
    </row>
  </sheetData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9566E-02DD-45C1-96A6-F683051AA92D}">
  <dimension ref="A1:B35"/>
  <sheetViews>
    <sheetView workbookViewId="0">
      <selection activeCell="G4" sqref="G4"/>
    </sheetView>
  </sheetViews>
  <sheetFormatPr defaultRowHeight="15.6"/>
  <sheetData>
    <row r="1" spans="1:2" ht="15.9" thickBot="1">
      <c r="A1" s="4" t="s">
        <v>14</v>
      </c>
      <c r="B1" s="5" t="s">
        <v>17</v>
      </c>
    </row>
    <row r="2" spans="1:2">
      <c r="A2" s="3" t="s">
        <v>18</v>
      </c>
      <c r="B2" s="3" t="s">
        <v>19</v>
      </c>
    </row>
    <row r="3" spans="1:2">
      <c r="A3" s="9">
        <v>2.1459308274266302</v>
      </c>
      <c r="B3" s="9">
        <v>372.00794117379797</v>
      </c>
    </row>
    <row r="4" spans="1:2">
      <c r="A4" s="9">
        <v>5.3648066034534896</v>
      </c>
      <c r="B4" s="9">
        <v>125.36015818038</v>
      </c>
    </row>
    <row r="5" spans="1:2">
      <c r="A5" s="9">
        <v>8.5836823794803507</v>
      </c>
      <c r="B5" s="9">
        <v>75.387741366514604</v>
      </c>
    </row>
    <row r="6" spans="1:2">
      <c r="A6" s="9">
        <v>15.021433931534</v>
      </c>
      <c r="B6" s="9">
        <v>47.971320018263498</v>
      </c>
    </row>
    <row r="7" spans="1:2">
      <c r="A7" s="9">
        <v>26.8240330172674</v>
      </c>
      <c r="B7" s="9">
        <v>29.2588831938941</v>
      </c>
    </row>
    <row r="8" spans="1:2">
      <c r="A8" s="9">
        <v>37.5536462241744</v>
      </c>
      <c r="B8" s="9">
        <v>23.671904842957801</v>
      </c>
    </row>
    <row r="9" spans="1:2">
      <c r="A9" s="9">
        <v>53.6480660345348</v>
      </c>
      <c r="B9" s="9">
        <v>20.5533924036564</v>
      </c>
    </row>
    <row r="10" spans="1:2">
      <c r="A10" s="9">
        <v>75.107292448348701</v>
      </c>
      <c r="B10" s="9">
        <v>18.357088709025</v>
      </c>
    </row>
    <row r="11" spans="1:2">
      <c r="A11" s="9">
        <v>103.00427041421599</v>
      </c>
      <c r="B11" s="9">
        <v>16.6287259139425</v>
      </c>
    </row>
    <row r="12" spans="1:2">
      <c r="A12" s="9">
        <v>141.63086158698999</v>
      </c>
      <c r="B12" s="9">
        <v>15.2773848531765</v>
      </c>
    </row>
    <row r="13" spans="1:2">
      <c r="A13" s="9">
        <v>173.81970120771101</v>
      </c>
      <c r="B13" s="9">
        <v>14.4380746352901</v>
      </c>
    </row>
    <row r="14" spans="1:2">
      <c r="A14" s="9">
        <v>223.17598744784499</v>
      </c>
      <c r="B14" s="9">
        <v>13.4534737667847</v>
      </c>
    </row>
    <row r="15" spans="1:2">
      <c r="A15" s="9">
        <v>272.53219182752701</v>
      </c>
      <c r="B15" s="9">
        <v>12.7143588738011</v>
      </c>
    </row>
    <row r="16" spans="1:2">
      <c r="A16" s="9">
        <v>321.88839620720802</v>
      </c>
      <c r="B16" s="9">
        <v>12.3601710324031</v>
      </c>
    </row>
    <row r="17" spans="1:2">
      <c r="A17" s="9">
        <v>384.12018555144999</v>
      </c>
      <c r="B17" s="9">
        <v>11.6811269458649</v>
      </c>
    </row>
    <row r="18" spans="1:2">
      <c r="A18" s="9">
        <v>447.42483798383898</v>
      </c>
      <c r="B18" s="9">
        <v>11.196438082438201</v>
      </c>
    </row>
    <row r="19" spans="1:2">
      <c r="A19" s="9">
        <v>497.85406917257302</v>
      </c>
      <c r="B19" s="9">
        <v>11.0393822900097</v>
      </c>
    </row>
    <row r="20" spans="1:2">
      <c r="A20" s="9">
        <v>562.23174841401499</v>
      </c>
      <c r="B20" s="9">
        <v>10.731854791181499</v>
      </c>
    </row>
    <row r="21" spans="1:2">
      <c r="A21" s="9">
        <v>626.60942765545599</v>
      </c>
      <c r="B21" s="9">
        <v>10.432899803366601</v>
      </c>
    </row>
    <row r="22" spans="1:2">
      <c r="A22" s="9">
        <v>684.54935534484503</v>
      </c>
      <c r="B22" s="9">
        <v>10.432899803366601</v>
      </c>
    </row>
    <row r="23" spans="1:2">
      <c r="A23" s="9">
        <v>741.41625622517995</v>
      </c>
      <c r="B23" s="9">
        <v>10.2865543912025</v>
      </c>
    </row>
    <row r="24" spans="1:2">
      <c r="A24" s="9">
        <v>813.30463196727601</v>
      </c>
      <c r="B24" s="9">
        <v>10.2865543912025</v>
      </c>
    </row>
    <row r="25" spans="1:2">
      <c r="A25" s="9">
        <v>883.047117812171</v>
      </c>
      <c r="B25" s="9">
        <v>10.432899803366601</v>
      </c>
    </row>
    <row r="26" spans="1:2">
      <c r="A26" s="9">
        <v>945.27890715641195</v>
      </c>
      <c r="B26" s="9">
        <v>10.432899803366601</v>
      </c>
    </row>
    <row r="27" spans="1:2">
      <c r="A27" s="9">
        <v>993.56216658749395</v>
      </c>
      <c r="B27" s="9">
        <v>10.432899803366601</v>
      </c>
    </row>
    <row r="28" spans="1:2">
      <c r="A28" s="7"/>
      <c r="B28" s="7"/>
    </row>
    <row r="29" spans="1:2">
      <c r="A29" s="7"/>
      <c r="B29" s="7"/>
    </row>
    <row r="30" spans="1:2">
      <c r="A30" s="7"/>
      <c r="B30" s="7"/>
    </row>
    <row r="31" spans="1:2">
      <c r="A31" s="7"/>
      <c r="B31" s="7"/>
    </row>
    <row r="32" spans="1:2">
      <c r="A32" s="7"/>
      <c r="B32" s="7"/>
    </row>
    <row r="33" spans="1:2">
      <c r="A33" s="7"/>
      <c r="B33" s="7"/>
    </row>
    <row r="34" spans="1:2">
      <c r="A34" s="7"/>
      <c r="B34" s="7"/>
    </row>
    <row r="35" spans="1:2">
      <c r="A35" s="7"/>
      <c r="B35" s="7"/>
    </row>
  </sheetData>
  <phoneticPr fontId="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51996-0FA6-488F-BB1B-7770C0232A93}">
  <dimension ref="A1:A2"/>
  <sheetViews>
    <sheetView workbookViewId="0">
      <selection activeCell="C4" sqref="C4"/>
    </sheetView>
  </sheetViews>
  <sheetFormatPr defaultRowHeight="15.6"/>
  <sheetData>
    <row r="1" spans="1:1">
      <c r="A1" t="s">
        <v>27</v>
      </c>
    </row>
    <row r="2" spans="1:1">
      <c r="A2">
        <v>209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5E14-DCCA-4835-A421-1F1A12130208}">
  <dimension ref="A1:A2"/>
  <sheetViews>
    <sheetView workbookViewId="0">
      <selection activeCell="C6" sqref="C6"/>
    </sheetView>
  </sheetViews>
  <sheetFormatPr defaultRowHeight="15.6"/>
  <sheetData>
    <row r="1" spans="1:1">
      <c r="A1" t="s">
        <v>26</v>
      </c>
    </row>
    <row r="2" spans="1:1">
      <c r="A2">
        <v>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E476-8A6A-4352-9041-4D352C65B6A3}">
  <dimension ref="A1:A2"/>
  <sheetViews>
    <sheetView workbookViewId="0">
      <selection activeCell="F12" sqref="F12"/>
    </sheetView>
  </sheetViews>
  <sheetFormatPr defaultRowHeight="15.6"/>
  <sheetData>
    <row r="1" spans="1:1">
      <c r="A1" t="s">
        <v>25</v>
      </c>
    </row>
    <row r="2" spans="1:1">
      <c r="A2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Capacitance</vt:lpstr>
      <vt:lpstr>Rds(on)</vt:lpstr>
      <vt:lpstr>Output</vt:lpstr>
      <vt:lpstr>Rg</vt:lpstr>
      <vt:lpstr>Transfer</vt:lpstr>
      <vt:lpstr>VTH</vt:lpstr>
      <vt:lpstr>body diode</vt:lpstr>
      <vt:lpstr>Ciss</vt:lpstr>
      <vt:lpstr>Coss</vt:lpstr>
      <vt:lpstr>Crss</vt:lpstr>
      <vt:lpstr>Eon</vt:lpstr>
      <vt:lpstr>Eoff</vt:lpstr>
      <vt:lpstr>ID_25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兆威 蔡</dc:creator>
  <cp:keywords/>
  <dc:description/>
  <cp:lastModifiedBy>Tung Nguyen</cp:lastModifiedBy>
  <cp:revision/>
  <dcterms:created xsi:type="dcterms:W3CDTF">2025-07-17T11:07:41Z</dcterms:created>
  <dcterms:modified xsi:type="dcterms:W3CDTF">2026-02-11T13:37:48Z</dcterms:modified>
  <cp:category/>
  <cp:contentStatus/>
</cp:coreProperties>
</file>