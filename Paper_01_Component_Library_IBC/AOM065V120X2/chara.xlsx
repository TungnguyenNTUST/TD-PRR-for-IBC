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AOM065V120X2\"/>
    </mc:Choice>
  </mc:AlternateContent>
  <xr:revisionPtr revIDLastSave="0" documentId="13_ncr:1_{9E2CD9F2-9EC9-4ABF-9D1C-D1353708BB35}" xr6:coauthVersionLast="47" xr6:coauthVersionMax="47" xr10:uidLastSave="{00000000-0000-0000-0000-000000000000}"/>
  <bookViews>
    <workbookView xWindow="-96" yWindow="-96" windowWidth="23232" windowHeight="13872" firstSheet="1" activeTab="1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0" r:id="rId8"/>
    <sheet name="Coss" sheetId="11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</calcChain>
</file>

<file path=xl/sharedStrings.xml><?xml version="1.0" encoding="utf-8"?>
<sst xmlns="http://schemas.openxmlformats.org/spreadsheetml/2006/main" count="58" uniqueCount="28">
  <si>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</si>
  <si>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</si>
  <si>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</si>
  <si>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</si>
  <si>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</si>
  <si>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</si>
  <si>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</si>
  <si>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</si>
  <si>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</si>
  <si>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</si>
  <si>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</si>
  <si>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</si>
  <si>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</si>
  <si>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</si>
  <si>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</si>
  <si>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</si>
  <si>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Coss_pF</t>
    <phoneticPr fontId="3" type="noConversion"/>
  </si>
  <si>
    <t>Crss_pF</t>
    <phoneticPr fontId="3" type="noConversion"/>
  </si>
  <si>
    <t>x</t>
  </si>
  <si>
    <t>y</t>
  </si>
  <si>
    <t>16V</t>
  </si>
  <si>
    <t>1716pF</t>
  </si>
  <si>
    <t>71pF</t>
  </si>
  <si>
    <t>5pF</t>
  </si>
  <si>
    <t>65m</t>
  </si>
  <si>
    <t>ID_25</t>
  </si>
  <si>
    <t>Eon</t>
  </si>
  <si>
    <t>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</si>
</sst>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Output!$C$2:$C$30</c:f>
              <c:numCache>
                <c:formatCode>General</c:formatCode>
                <c:ptCount val="29"/>
                <c:pt idx="0">
                  <c:v>0</c:v>
                </c:pt>
                <c:pt idx="1">
                  <c:v>0.20689647310175599</c:v>
                </c:pt>
                <c:pt idx="2">
                  <c:v>0.40229886821434901</c:v>
                </c:pt>
                <c:pt idx="3">
                  <c:v>0.57471266887764105</c:v>
                </c:pt>
                <c:pt idx="4">
                  <c:v>0.75862098600106898</c:v>
                </c:pt>
                <c:pt idx="5">
                  <c:v>0.97701197556296004</c:v>
                </c:pt>
                <c:pt idx="6">
                  <c:v>1.1264367433059801</c:v>
                </c:pt>
                <c:pt idx="7">
                  <c:v>1.3563218108570401</c:v>
                </c:pt>
                <c:pt idx="8">
                  <c:v>1.5747128004189299</c:v>
                </c:pt>
                <c:pt idx="9">
                  <c:v>1.83908097887942</c:v>
                </c:pt>
                <c:pt idx="10">
                  <c:v>2.1149423583871401</c:v>
                </c:pt>
                <c:pt idx="11">
                  <c:v>2.36781645885846</c:v>
                </c:pt>
                <c:pt idx="12">
                  <c:v>2.6666668712864499</c:v>
                </c:pt>
                <c:pt idx="13">
                  <c:v>2.9655172837144299</c:v>
                </c:pt>
                <c:pt idx="14">
                  <c:v>3.3563220739396198</c:v>
                </c:pt>
                <c:pt idx="15">
                  <c:v>3.7471268641647999</c:v>
                </c:pt>
                <c:pt idx="16">
                  <c:v>4.1724138883574797</c:v>
                </c:pt>
                <c:pt idx="17">
                  <c:v>4.5402305226043396</c:v>
                </c:pt>
                <c:pt idx="18">
                  <c:v>5.0114947356956101</c:v>
                </c:pt>
                <c:pt idx="19">
                  <c:v>5.4712648707977296</c:v>
                </c:pt>
                <c:pt idx="20">
                  <c:v>5.9425290838890099</c:v>
                </c:pt>
                <c:pt idx="21">
                  <c:v>6.5287358307558101</c:v>
                </c:pt>
                <c:pt idx="22">
                  <c:v>7.13793161054289</c:v>
                </c:pt>
                <c:pt idx="23">
                  <c:v>7.8735640020946596</c:v>
                </c:pt>
                <c:pt idx="24">
                  <c:v>8.6321845496247605</c:v>
                </c:pt>
                <c:pt idx="25">
                  <c:v>9.2298853744807303</c:v>
                </c:pt>
                <c:pt idx="26">
                  <c:v>9.9425287331122298</c:v>
                </c:pt>
              </c:numCache>
            </c:numRef>
          </c:xVal>
          <c:yVal>
            <c:numRef>
              <c:f>Output!$D$2:$D$30</c:f>
              <c:numCache>
                <c:formatCode>General</c:formatCode>
                <c:ptCount val="29"/>
                <c:pt idx="0">
                  <c:v>0</c:v>
                </c:pt>
                <c:pt idx="1">
                  <c:v>4.5171364807666796</c:v>
                </c:pt>
                <c:pt idx="2">
                  <c:v>7.3208677598755596</c:v>
                </c:pt>
                <c:pt idx="3">
                  <c:v>10.2803717909842</c:v>
                </c:pt>
                <c:pt idx="4">
                  <c:v>13.862925236818301</c:v>
                </c:pt>
                <c:pt idx="5">
                  <c:v>16.8224173841345</c:v>
                </c:pt>
                <c:pt idx="6">
                  <c:v>19.3146388106213</c:v>
                </c:pt>
                <c:pt idx="7">
                  <c:v>23.052947182766498</c:v>
                </c:pt>
                <c:pt idx="8">
                  <c:v>26.3239848340822</c:v>
                </c:pt>
                <c:pt idx="9">
                  <c:v>29.595016543501799</c:v>
                </c:pt>
                <c:pt idx="10">
                  <c:v>33.644858535853999</c:v>
                </c:pt>
                <c:pt idx="11">
                  <c:v>37.227411981688199</c:v>
                </c:pt>
                <c:pt idx="12">
                  <c:v>40.965732237625801</c:v>
                </c:pt>
                <c:pt idx="13">
                  <c:v>44.704052493563502</c:v>
                </c:pt>
                <c:pt idx="14">
                  <c:v>49.065422164226597</c:v>
                </c:pt>
                <c:pt idx="15">
                  <c:v>53.426791834889798</c:v>
                </c:pt>
                <c:pt idx="16">
                  <c:v>57.7881615055529</c:v>
                </c:pt>
                <c:pt idx="17">
                  <c:v>61.682242629697797</c:v>
                </c:pt>
                <c:pt idx="18">
                  <c:v>65.732087592998298</c:v>
                </c:pt>
                <c:pt idx="19">
                  <c:v>69.470407848935906</c:v>
                </c:pt>
                <c:pt idx="20">
                  <c:v>73.208725133925498</c:v>
                </c:pt>
                <c:pt idx="21">
                  <c:v>77.414330965433194</c:v>
                </c:pt>
                <c:pt idx="22">
                  <c:v>81.152651221370803</c:v>
                </c:pt>
                <c:pt idx="23">
                  <c:v>85.825548570344793</c:v>
                </c:pt>
                <c:pt idx="24">
                  <c:v>89.408102016178901</c:v>
                </c:pt>
                <c:pt idx="25">
                  <c:v>92.056076883502698</c:v>
                </c:pt>
                <c:pt idx="26">
                  <c:v>94.704051750826494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Transfer!$D$1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Transfer!$C$2:$C$25</c:f>
              <c:numCache>
                <c:formatCode>General</c:formatCode>
                <c:ptCount val="24"/>
                <c:pt idx="0">
                  <c:v>0</c:v>
                </c:pt>
                <c:pt idx="1">
                  <c:v>2.4351647345574299</c:v>
                </c:pt>
                <c:pt idx="2">
                  <c:v>3.3450555486993401</c:v>
                </c:pt>
                <c:pt idx="3">
                  <c:v>4.6241760253906197</c:v>
                </c:pt>
                <c:pt idx="4">
                  <c:v>5.2043960068252</c:v>
                </c:pt>
                <c:pt idx="5">
                  <c:v>5.6791210803356797</c:v>
                </c:pt>
                <c:pt idx="6">
                  <c:v>6.1010986998840897</c:v>
                </c:pt>
                <c:pt idx="7">
                  <c:v>6.5758247794685696</c:v>
                </c:pt>
                <c:pt idx="8">
                  <c:v>6.9450549450549399</c:v>
                </c:pt>
                <c:pt idx="9">
                  <c:v>7.2747252747252702</c:v>
                </c:pt>
                <c:pt idx="10">
                  <c:v>7.6571430583576499</c:v>
                </c:pt>
                <c:pt idx="11">
                  <c:v>7.9999999999999902</c:v>
                </c:pt>
                <c:pt idx="12">
                  <c:v>8.3956043956043906</c:v>
                </c:pt>
                <c:pt idx="13">
                  <c:v>8.6197808234246196</c:v>
                </c:pt>
                <c:pt idx="14">
                  <c:v>8.9098903111049097</c:v>
                </c:pt>
                <c:pt idx="15">
                  <c:v>9.3054947067093003</c:v>
                </c:pt>
                <c:pt idx="16">
                  <c:v>9.7670331682477602</c:v>
                </c:pt>
                <c:pt idx="17">
                  <c:v>10.1230767218621</c:v>
                </c:pt>
                <c:pt idx="18">
                  <c:v>10.663736867380599</c:v>
                </c:pt>
                <c:pt idx="19">
                  <c:v>11.204396006825201</c:v>
                </c:pt>
                <c:pt idx="20">
                  <c:v>11.6395612444196</c:v>
                </c:pt>
                <c:pt idx="21">
                  <c:v>12.1538461538461</c:v>
                </c:pt>
              </c:numCache>
            </c:numRef>
          </c:xVal>
          <c:yVal>
            <c:numRef>
              <c:f>Transfer!$D$2:$D$25</c:f>
              <c:numCache>
                <c:formatCode>General</c:formatCode>
                <c:ptCount val="24"/>
                <c:pt idx="0">
                  <c:v>0</c:v>
                </c:pt>
                <c:pt idx="1">
                  <c:v>9.9999999999999998E-13</c:v>
                </c:pt>
                <c:pt idx="2" formatCode="0.00E+00">
                  <c:v>1.0000000000000001E-9</c:v>
                </c:pt>
                <c:pt idx="3" formatCode="0.00E+00">
                  <c:v>2.0000000000000001E-9</c:v>
                </c:pt>
                <c:pt idx="4">
                  <c:v>0.21908898345303901</c:v>
                </c:pt>
                <c:pt idx="5">
                  <c:v>0.76681979979466497</c:v>
                </c:pt>
                <c:pt idx="6">
                  <c:v>1.64319244902484</c:v>
                </c:pt>
                <c:pt idx="7">
                  <c:v>3.3959293897762102</c:v>
                </c:pt>
                <c:pt idx="8">
                  <c:v>5.8059499963047001</c:v>
                </c:pt>
                <c:pt idx="9">
                  <c:v>8.5446040780127603</c:v>
                </c:pt>
                <c:pt idx="10">
                  <c:v>11.7214319477724</c:v>
                </c:pt>
                <c:pt idx="11">
                  <c:v>14.8982807118045</c:v>
                </c:pt>
                <c:pt idx="12">
                  <c:v>18.9514854096489</c:v>
                </c:pt>
                <c:pt idx="13">
                  <c:v>22.347418978279599</c:v>
                </c:pt>
                <c:pt idx="14">
                  <c:v>26.948358671320001</c:v>
                </c:pt>
                <c:pt idx="15">
                  <c:v>33.082942142804299</c:v>
                </c:pt>
                <c:pt idx="16">
                  <c:v>40.093898263518803</c:v>
                </c:pt>
                <c:pt idx="17">
                  <c:v>45.680750918661403</c:v>
                </c:pt>
                <c:pt idx="18">
                  <c:v>53.348982347444</c:v>
                </c:pt>
                <c:pt idx="19">
                  <c:v>60.140845305850902</c:v>
                </c:pt>
                <c:pt idx="20">
                  <c:v>64.632237373023997</c:v>
                </c:pt>
                <c:pt idx="21">
                  <c:v>69.342722602504594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6-49FF-9B91-52579810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8719"/>
        <c:axId val="93619135"/>
      </c:scatterChart>
      <c:valAx>
        <c:axId val="936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135"/>
        <c:crosses val="autoZero"/>
        <c:crossBetween val="midCat"/>
      </c:valAx>
      <c:valAx>
        <c:axId val="93619135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diode'!$B$1</c:f>
              <c:strCache>
                <c:ptCount val="1"/>
                <c:pt idx="0">
                  <c:v>Isd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diode'!$A$2:$A$31</c:f>
              <c:numCache>
                <c:formatCode>General</c:formatCode>
                <c:ptCount val="30"/>
                <c:pt idx="0">
                  <c:v>0</c:v>
                </c:pt>
                <c:pt idx="1">
                  <c:v>1.5605428895615201</c:v>
                </c:pt>
                <c:pt idx="2">
                  <c:v>1.7954071920582599</c:v>
                </c:pt>
                <c:pt idx="3">
                  <c:v>1.9676407749728699</c:v>
                </c:pt>
                <c:pt idx="4">
                  <c:v>2.1346556289979901</c:v>
                </c:pt>
                <c:pt idx="5">
                  <c:v>2.2338202381637302</c:v>
                </c:pt>
                <c:pt idx="6">
                  <c:v>2.3382043726067301</c:v>
                </c:pt>
                <c:pt idx="7">
                  <c:v>2.4112733463556002</c:v>
                </c:pt>
                <c:pt idx="8">
                  <c:v>2.4843423201044699</c:v>
                </c:pt>
                <c:pt idx="9">
                  <c:v>2.5521921667699599</c:v>
                </c:pt>
                <c:pt idx="10">
                  <c:v>2.6096033610748299</c:v>
                </c:pt>
                <c:pt idx="11">
                  <c:v>2.6826723348237</c:v>
                </c:pt>
                <c:pt idx="12">
                  <c:v>2.7557409103786998</c:v>
                </c:pt>
                <c:pt idx="13">
                  <c:v>2.8235907570441898</c:v>
                </c:pt>
                <c:pt idx="14">
                  <c:v>2.90709798495981</c:v>
                </c:pt>
                <c:pt idx="15">
                  <c:v>2.9801669587086801</c:v>
                </c:pt>
                <c:pt idx="16">
                  <c:v>3.0688933137076799</c:v>
                </c:pt>
                <c:pt idx="17">
                  <c:v>3.14196228745655</c:v>
                </c:pt>
                <c:pt idx="18">
                  <c:v>3.2202503882887901</c:v>
                </c:pt>
                <c:pt idx="19">
                  <c:v>3.30375761620442</c:v>
                </c:pt>
                <c:pt idx="20">
                  <c:v>3.3977034964806601</c:v>
                </c:pt>
                <c:pt idx="21">
                  <c:v>3.4707724702295302</c:v>
                </c:pt>
                <c:pt idx="22">
                  <c:v>3.5594988252285198</c:v>
                </c:pt>
                <c:pt idx="23">
                  <c:v>3.6430060531441399</c:v>
                </c:pt>
                <c:pt idx="24">
                  <c:v>3.7160750268930101</c:v>
                </c:pt>
                <c:pt idx="25">
                  <c:v>3.7839248735585098</c:v>
                </c:pt>
                <c:pt idx="26">
                  <c:v>3.8569938473073799</c:v>
                </c:pt>
                <c:pt idx="27">
                  <c:v>3.93528194813962</c:v>
                </c:pt>
                <c:pt idx="28">
                  <c:v>3.9874740153611201</c:v>
                </c:pt>
                <c:pt idx="29">
                  <c:v>4.0553234638327398</c:v>
                </c:pt>
              </c:numCache>
            </c:numRef>
          </c:xVal>
          <c:yVal>
            <c:numRef>
              <c:f>'body diode'!$B$2:$B$31</c:f>
              <c:numCache>
                <c:formatCode>0.00E+00</c:formatCode>
                <c:ptCount val="30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0.261865838230187</c:v>
                </c:pt>
                <c:pt idx="3" formatCode="General">
                  <c:v>0.39279922559777802</c:v>
                </c:pt>
                <c:pt idx="4" formatCode="General">
                  <c:v>0.78559720252223197</c:v>
                </c:pt>
                <c:pt idx="5" formatCode="General">
                  <c:v>1.14566276910978</c:v>
                </c:pt>
                <c:pt idx="6" formatCode="General">
                  <c:v>1.73486051491729</c:v>
                </c:pt>
                <c:pt idx="7" formatCode="General">
                  <c:v>2.2258588445357601</c:v>
                </c:pt>
                <c:pt idx="8" formatCode="General">
                  <c:v>2.74959052099614</c:v>
                </c:pt>
                <c:pt idx="9" formatCode="General">
                  <c:v>3.3387888911403101</c:v>
                </c:pt>
                <c:pt idx="10" formatCode="General">
                  <c:v>3.89525329010592</c:v>
                </c:pt>
                <c:pt idx="11" formatCode="General">
                  <c:v>4.5826523251124502</c:v>
                </c:pt>
                <c:pt idx="12" formatCode="General">
                  <c:v>5.40098287447658</c:v>
                </c:pt>
                <c:pt idx="13" formatCode="General">
                  <c:v>6.0883794121364598</c:v>
                </c:pt>
                <c:pt idx="14" formatCode="General">
                  <c:v>6.8412432678167896</c:v>
                </c:pt>
                <c:pt idx="15" formatCode="General">
                  <c:v>7.4959077073081</c:v>
                </c:pt>
                <c:pt idx="16" formatCode="General">
                  <c:v>8.2160388404831899</c:v>
                </c:pt>
                <c:pt idx="17" formatCode="General">
                  <c:v>8.9689026961635303</c:v>
                </c:pt>
                <c:pt idx="18" formatCode="General">
                  <c:v>9.6563011068333893</c:v>
                </c:pt>
                <c:pt idx="19" formatCode="General">
                  <c:v>10.540097101208</c:v>
                </c:pt>
                <c:pt idx="20" formatCode="General">
                  <c:v>11.292962205561601</c:v>
                </c:pt>
                <c:pt idx="21" formatCode="General">
                  <c:v>12.2094921711148</c:v>
                </c:pt>
                <c:pt idx="22" formatCode="General">
                  <c:v>13.1587548591732</c:v>
                </c:pt>
                <c:pt idx="23" formatCode="General">
                  <c:v>14.238952183272501</c:v>
                </c:pt>
                <c:pt idx="24" formatCode="General">
                  <c:v>15.1227481776471</c:v>
                </c:pt>
                <c:pt idx="25" formatCode="General">
                  <c:v>16.104744836883999</c:v>
                </c:pt>
                <c:pt idx="26" formatCode="General">
                  <c:v>17.119475467299502</c:v>
                </c:pt>
                <c:pt idx="27" formatCode="General">
                  <c:v>18.134204849041701</c:v>
                </c:pt>
                <c:pt idx="28" formatCode="General">
                  <c:v>18.985268120911101</c:v>
                </c:pt>
                <c:pt idx="29" formatCode="General">
                  <c:v>19.934532057642802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C-49FD-A5EE-ACAD64F3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967"/>
        <c:axId val="93622463"/>
      </c:scatterChart>
      <c:valAx>
        <c:axId val="936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22463"/>
        <c:crossesAt val="0.1"/>
        <c:crossBetween val="midCat"/>
      </c:valAx>
      <c:valAx>
        <c:axId val="936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Ciss!$A$2:$A$24</c:f>
              <c:numCache>
                <c:formatCode>General</c:formatCode>
                <c:ptCount val="23"/>
                <c:pt idx="0">
                  <c:v>1.0989262046845001</c:v>
                </c:pt>
                <c:pt idx="1">
                  <c:v>7.6923157537978204</c:v>
                </c:pt>
                <c:pt idx="2">
                  <c:v>35.164842074683797</c:v>
                </c:pt>
                <c:pt idx="3">
                  <c:v>90.109894716455898</c:v>
                </c:pt>
                <c:pt idx="4">
                  <c:v>139.56044209404999</c:v>
                </c:pt>
                <c:pt idx="5">
                  <c:v>197.80223143012699</c:v>
                </c:pt>
                <c:pt idx="6">
                  <c:v>242.85715782848101</c:v>
                </c:pt>
                <c:pt idx="7">
                  <c:v>291.20882092113999</c:v>
                </c:pt>
                <c:pt idx="8">
                  <c:v>339.560484013799</c:v>
                </c:pt>
                <c:pt idx="9">
                  <c:v>396.70330522544299</c:v>
                </c:pt>
                <c:pt idx="10">
                  <c:v>446.15385260303799</c:v>
                </c:pt>
                <c:pt idx="11">
                  <c:v>496.70328426556898</c:v>
                </c:pt>
                <c:pt idx="12">
                  <c:v>547.25271592809997</c:v>
                </c:pt>
                <c:pt idx="13">
                  <c:v>594.50549473582203</c:v>
                </c:pt>
                <c:pt idx="14">
                  <c:v>649.45054737759403</c:v>
                </c:pt>
                <c:pt idx="15">
                  <c:v>706.59336858923905</c:v>
                </c:pt>
                <c:pt idx="16">
                  <c:v>768.13189461962099</c:v>
                </c:pt>
                <c:pt idx="17">
                  <c:v>827.47256824063402</c:v>
                </c:pt>
                <c:pt idx="18">
                  <c:v>896.70336810506603</c:v>
                </c:pt>
                <c:pt idx="19">
                  <c:v>951.64842074683804</c:v>
                </c:pt>
                <c:pt idx="20">
                  <c:v>994.50549473582203</c:v>
                </c:pt>
              </c:numCache>
            </c:numRef>
          </c:xVal>
          <c:yVal>
            <c:numRef>
              <c:f>Ciss!$B$2:$B$24</c:f>
              <c:numCache>
                <c:formatCode>General</c:formatCode>
                <c:ptCount val="23"/>
                <c:pt idx="0">
                  <c:v>2207.2350341157398</c:v>
                </c:pt>
                <c:pt idx="1">
                  <c:v>1749.45260301443</c:v>
                </c:pt>
                <c:pt idx="2">
                  <c:v>1749.45260301443</c:v>
                </c:pt>
                <c:pt idx="3">
                  <c:v>1749.45260301443</c:v>
                </c:pt>
                <c:pt idx="4">
                  <c:v>1775.0531167562101</c:v>
                </c:pt>
                <c:pt idx="5">
                  <c:v>1775.0531167562101</c:v>
                </c:pt>
                <c:pt idx="6">
                  <c:v>1775.0531167562101</c:v>
                </c:pt>
                <c:pt idx="7">
                  <c:v>1749.45260301443</c:v>
                </c:pt>
                <c:pt idx="8">
                  <c:v>1749.45260301443</c:v>
                </c:pt>
                <c:pt idx="9">
                  <c:v>1749.45260301443</c:v>
                </c:pt>
                <c:pt idx="10">
                  <c:v>1749.45260301443</c:v>
                </c:pt>
                <c:pt idx="11">
                  <c:v>1749.45260301443</c:v>
                </c:pt>
                <c:pt idx="12">
                  <c:v>1749.45260301443</c:v>
                </c:pt>
                <c:pt idx="13">
                  <c:v>1749.45260301443</c:v>
                </c:pt>
                <c:pt idx="14">
                  <c:v>1749.45260301443</c:v>
                </c:pt>
                <c:pt idx="15">
                  <c:v>1749.45260301443</c:v>
                </c:pt>
                <c:pt idx="16">
                  <c:v>1749.45260301443</c:v>
                </c:pt>
                <c:pt idx="17">
                  <c:v>1749.45260301443</c:v>
                </c:pt>
                <c:pt idx="18">
                  <c:v>1749.45260301443</c:v>
                </c:pt>
                <c:pt idx="19">
                  <c:v>1749.45260301443</c:v>
                </c:pt>
                <c:pt idx="20">
                  <c:v>1749.45260301443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Coss!$A$2:$A$28</c:f>
              <c:numCache>
                <c:formatCode>General</c:formatCode>
                <c:ptCount val="27"/>
                <c:pt idx="0">
                  <c:v>2.1978104896205699</c:v>
                </c:pt>
                <c:pt idx="1">
                  <c:v>2.1978104896205699</c:v>
                </c:pt>
                <c:pt idx="2">
                  <c:v>5.49450526417725</c:v>
                </c:pt>
                <c:pt idx="3">
                  <c:v>8.7912419584822903</c:v>
                </c:pt>
                <c:pt idx="4">
                  <c:v>16.483515792531598</c:v>
                </c:pt>
                <c:pt idx="5">
                  <c:v>26.373642035949899</c:v>
                </c:pt>
                <c:pt idx="6">
                  <c:v>40.659347338860997</c:v>
                </c:pt>
                <c:pt idx="7">
                  <c:v>58.241789336077098</c:v>
                </c:pt>
                <c:pt idx="8">
                  <c:v>82.417578962658098</c:v>
                </c:pt>
                <c:pt idx="9">
                  <c:v>114.285768182533</c:v>
                </c:pt>
                <c:pt idx="10">
                  <c:v>153.84618931671</c:v>
                </c:pt>
                <c:pt idx="11">
                  <c:v>195.60437902075799</c:v>
                </c:pt>
                <c:pt idx="12">
                  <c:v>236.26376827936801</c:v>
                </c:pt>
                <c:pt idx="13">
                  <c:v>281.318694677721</c:v>
                </c:pt>
                <c:pt idx="14">
                  <c:v>327.47250536101097</c:v>
                </c:pt>
                <c:pt idx="15">
                  <c:v>376.92305273860597</c:v>
                </c:pt>
                <c:pt idx="16">
                  <c:v>429.670336810506</c:v>
                </c:pt>
                <c:pt idx="17">
                  <c:v>486.81315802214999</c:v>
                </c:pt>
                <c:pt idx="18">
                  <c:v>548.35168405253296</c:v>
                </c:pt>
                <c:pt idx="19">
                  <c:v>617.58240007746701</c:v>
                </c:pt>
                <c:pt idx="20">
                  <c:v>670.32968414936704</c:v>
                </c:pt>
                <c:pt idx="21">
                  <c:v>720.87911581189803</c:v>
                </c:pt>
                <c:pt idx="22">
                  <c:v>792.30768424620203</c:v>
                </c:pt>
                <c:pt idx="23">
                  <c:v>876.92311561822896</c:v>
                </c:pt>
                <c:pt idx="24">
                  <c:v>937.36267352417804</c:v>
                </c:pt>
                <c:pt idx="25">
                  <c:v>994.50549473582203</c:v>
                </c:pt>
              </c:numCache>
            </c:numRef>
          </c:xVal>
          <c:yVal>
            <c:numRef>
              <c:f>Coss!$B$2:$B$28</c:f>
              <c:numCache>
                <c:formatCode>General</c:formatCode>
                <c:ptCount val="27"/>
                <c:pt idx="0">
                  <c:v>2144.02692851952</c:v>
                </c:pt>
                <c:pt idx="1">
                  <c:v>1512.9016479555801</c:v>
                </c:pt>
                <c:pt idx="2">
                  <c:v>1022.02998710623</c:v>
                </c:pt>
                <c:pt idx="3">
                  <c:v>742.44143792625698</c:v>
                </c:pt>
                <c:pt idx="4">
                  <c:v>531.55973552130899</c:v>
                </c:pt>
                <c:pt idx="5">
                  <c:v>397.52926599678398</c:v>
                </c:pt>
                <c:pt idx="6">
                  <c:v>306.05844101939903</c:v>
                </c:pt>
                <c:pt idx="7">
                  <c:v>253.38767084244</c:v>
                </c:pt>
                <c:pt idx="8">
                  <c:v>219.126042128043</c:v>
                </c:pt>
                <c:pt idx="9">
                  <c:v>181.415801671119</c:v>
                </c:pt>
                <c:pt idx="10">
                  <c:v>159.181531790582</c:v>
                </c:pt>
                <c:pt idx="11">
                  <c:v>143.78996962920201</c:v>
                </c:pt>
                <c:pt idx="12">
                  <c:v>131.78737187317401</c:v>
                </c:pt>
                <c:pt idx="13">
                  <c:v>122.554159216728</c:v>
                </c:pt>
                <c:pt idx="14">
                  <c:v>112.32411861849</c:v>
                </c:pt>
                <c:pt idx="15">
                  <c:v>104.454529454436</c:v>
                </c:pt>
                <c:pt idx="16">
                  <c:v>98.557760694589007</c:v>
                </c:pt>
                <c:pt idx="17">
                  <c:v>92.993830529134996</c:v>
                </c:pt>
                <c:pt idx="18">
                  <c:v>86.478549126913606</c:v>
                </c:pt>
                <c:pt idx="19">
                  <c:v>84.002081881452398</c:v>
                </c:pt>
                <c:pt idx="20">
                  <c:v>80.419737702416398</c:v>
                </c:pt>
                <c:pt idx="21">
                  <c:v>78.116775310941506</c:v>
                </c:pt>
                <c:pt idx="22">
                  <c:v>74.785415313041199</c:v>
                </c:pt>
                <c:pt idx="23">
                  <c:v>73.706851081906507</c:v>
                </c:pt>
                <c:pt idx="24">
                  <c:v>72.643801776149402</c:v>
                </c:pt>
                <c:pt idx="25">
                  <c:v>72.643801776149402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Crss!$A$3:$A$30</c:f>
              <c:numCache>
                <c:formatCode>General</c:formatCode>
                <c:ptCount val="28"/>
                <c:pt idx="0">
                  <c:v>1.0989262046845001</c:v>
                </c:pt>
                <c:pt idx="1">
                  <c:v>1.0989262046845001</c:v>
                </c:pt>
                <c:pt idx="2">
                  <c:v>1.0989262046845001</c:v>
                </c:pt>
                <c:pt idx="3">
                  <c:v>3.29673669430507</c:v>
                </c:pt>
                <c:pt idx="4">
                  <c:v>4.3956209792411398</c:v>
                </c:pt>
                <c:pt idx="5">
                  <c:v>7.6923157537978204</c:v>
                </c:pt>
                <c:pt idx="6">
                  <c:v>9.8901262434183597</c:v>
                </c:pt>
                <c:pt idx="7">
                  <c:v>18.681326282152199</c:v>
                </c:pt>
                <c:pt idx="8">
                  <c:v>26.373642035949899</c:v>
                </c:pt>
                <c:pt idx="9">
                  <c:v>41.758273543545499</c:v>
                </c:pt>
                <c:pt idx="10">
                  <c:v>62.637368395569801</c:v>
                </c:pt>
                <c:pt idx="11">
                  <c:v>89.011010431519793</c:v>
                </c:pt>
                <c:pt idx="12">
                  <c:v>125.274778710888</c:v>
                </c:pt>
                <c:pt idx="13">
                  <c:v>165.93408413</c:v>
                </c:pt>
                <c:pt idx="14">
                  <c:v>210.98901052835399</c:v>
                </c:pt>
                <c:pt idx="15">
                  <c:v>259.34067362101302</c:v>
                </c:pt>
                <c:pt idx="16">
                  <c:v>308.79122099860803</c:v>
                </c:pt>
                <c:pt idx="17">
                  <c:v>362.63738935544399</c:v>
                </c:pt>
                <c:pt idx="18">
                  <c:v>419.78021056708798</c:v>
                </c:pt>
                <c:pt idx="19">
                  <c:v>481.31865275797298</c:v>
                </c:pt>
                <c:pt idx="20">
                  <c:v>551.64833690734099</c:v>
                </c:pt>
                <c:pt idx="21">
                  <c:v>604.39562097924102</c:v>
                </c:pt>
                <c:pt idx="22">
                  <c:v>660.43955790594896</c:v>
                </c:pt>
                <c:pt idx="23">
                  <c:v>721.97800009683397</c:v>
                </c:pt>
                <c:pt idx="24">
                  <c:v>796.70330522544305</c:v>
                </c:pt>
                <c:pt idx="25">
                  <c:v>875.82414749379598</c:v>
                </c:pt>
                <c:pt idx="26">
                  <c:v>932.96696870543997</c:v>
                </c:pt>
                <c:pt idx="27">
                  <c:v>994.50549473582203</c:v>
                </c:pt>
              </c:numCache>
            </c:numRef>
          </c:xVal>
          <c:yVal>
            <c:numRef>
              <c:f>Crss!$B$3:$B$30</c:f>
              <c:numCache>
                <c:formatCode>General</c:formatCode>
                <c:ptCount val="28"/>
                <c:pt idx="0">
                  <c:v>508.890752484242</c:v>
                </c:pt>
                <c:pt idx="1">
                  <c:v>329.11683976566098</c:v>
                </c:pt>
                <c:pt idx="2">
                  <c:v>200.83479586248799</c:v>
                </c:pt>
                <c:pt idx="3">
                  <c:v>122.554159216728</c:v>
                </c:pt>
                <c:pt idx="4">
                  <c:v>73.706851081906507</c:v>
                </c:pt>
                <c:pt idx="5">
                  <c:v>51.260064139906703</c:v>
                </c:pt>
                <c:pt idx="6">
                  <c:v>32.673480348882002</c:v>
                </c:pt>
                <c:pt idx="7">
                  <c:v>22.072350341157399</c:v>
                </c:pt>
                <c:pt idx="8">
                  <c:v>15.8029429748042</c:v>
                </c:pt>
                <c:pt idx="9">
                  <c:v>12.344759717865699</c:v>
                </c:pt>
                <c:pt idx="10">
                  <c:v>10.6755720552783</c:v>
                </c:pt>
                <c:pt idx="11">
                  <c:v>9.3671665498276102</c:v>
                </c:pt>
                <c:pt idx="12">
                  <c:v>8.3394149463245597</c:v>
                </c:pt>
                <c:pt idx="13">
                  <c:v>7.6432937048121499</c:v>
                </c:pt>
                <c:pt idx="14">
                  <c:v>7.1077935641756502</c:v>
                </c:pt>
                <c:pt idx="15">
                  <c:v>6.7065374840459997</c:v>
                </c:pt>
                <c:pt idx="16">
                  <c:v>6.4205311734957</c:v>
                </c:pt>
                <c:pt idx="17">
                  <c:v>6.1467184524122302</c:v>
                </c:pt>
                <c:pt idx="18">
                  <c:v>5.8845861269390696</c:v>
                </c:pt>
                <c:pt idx="19">
                  <c:v>5.71607052458927</c:v>
                </c:pt>
                <c:pt idx="20">
                  <c:v>5.5523837435747296</c:v>
                </c:pt>
                <c:pt idx="21">
                  <c:v>5.3933813480209603</c:v>
                </c:pt>
                <c:pt idx="22">
                  <c:v>5.3155944094455299</c:v>
                </c:pt>
                <c:pt idx="23">
                  <c:v>5.2389264626355203</c:v>
                </c:pt>
                <c:pt idx="24">
                  <c:v>5.0889061147712802</c:v>
                </c:pt>
                <c:pt idx="25">
                  <c:v>5.0155133003031098</c:v>
                </c:pt>
                <c:pt idx="26">
                  <c:v>5.1633757595324496</c:v>
                </c:pt>
                <c:pt idx="27">
                  <c:v>5.1633757595324496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411480</xdr:colOff>
      <xdr:row>4</xdr:row>
      <xdr:rowOff>129541</xdr:rowOff>
    </xdr:from>
    <xdr:to>
      <xdr:col>14</xdr:col>
      <xdr:colOff>273621</xdr:colOff>
      <xdr:row>8</xdr:row>
      <xdr:rowOff>121921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C23F674B-AC0C-73FC-A65F-3D0688488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5992"/>
        <a:stretch>
          <a:fillRect/>
        </a:stretch>
      </xdr:blipFill>
      <xdr:spPr>
        <a:xfrm>
          <a:off x="1874520" y="891541"/>
          <a:ext cx="8640381" cy="754380"/>
        </a:xfrm>
        <a:prstGeom prst="rect">
          <a:avLst/>
        </a:prstGeom>
      </xdr:spPr>
    </xdr:pic>
    <xdr:clientData/>
  </xdr:twoCellAnchor>
  <xdr:twoCellAnchor>
    <xdr:from>
      <xdr:col>12</xdr:col>
      <xdr:colOff>53340</xdr:colOff>
      <xdr:row>4</xdr:row>
      <xdr:rowOff>129540</xdr:rowOff>
    </xdr:from>
    <xdr:to>
      <xdr:col>14</xdr:col>
      <xdr:colOff>236220</xdr:colOff>
      <xdr:row>8</xdr:row>
      <xdr:rowOff>121920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A16EE67-7882-4A07-9CEA-7CC27B90EE24}"/>
            </a:ext>
          </a:extLst>
        </xdr:cNvPr>
        <xdr:cNvSpPr/>
      </xdr:nvSpPr>
      <xdr:spPr>
        <a:xfrm>
          <a:off x="8831580" y="891540"/>
          <a:ext cx="1645920" cy="7543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2</xdr:row>
      <xdr:rowOff>38100</xdr:rowOff>
    </xdr:from>
    <xdr:to>
      <xdr:col>14</xdr:col>
      <xdr:colOff>189806</xdr:colOff>
      <xdr:row>5</xdr:row>
      <xdr:rowOff>74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18FF8048-FC16-8AF3-0BA2-41A9E1E0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" y="419100"/>
          <a:ext cx="8678486" cy="533474"/>
        </a:xfrm>
        <a:prstGeom prst="rect">
          <a:avLst/>
        </a:prstGeom>
      </xdr:spPr>
    </xdr:pic>
    <xdr:clientData/>
  </xdr:twoCellAnchor>
  <xdr:twoCellAnchor>
    <xdr:from>
      <xdr:col>12</xdr:col>
      <xdr:colOff>571500</xdr:colOff>
      <xdr:row>2</xdr:row>
      <xdr:rowOff>68580</xdr:rowOff>
    </xdr:from>
    <xdr:to>
      <xdr:col>14</xdr:col>
      <xdr:colOff>106680</xdr:colOff>
      <xdr:row>3</xdr:row>
      <xdr:rowOff>129540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24629B-9DA4-4C64-AB0C-BD7400C0EA0F}"/>
            </a:ext>
          </a:extLst>
        </xdr:cNvPr>
        <xdr:cNvSpPr/>
      </xdr:nvSpPr>
      <xdr:spPr>
        <a:xfrm>
          <a:off x="9349740" y="449580"/>
          <a:ext cx="998220" cy="2514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209551</xdr:colOff>
      <xdr:row>11</xdr:row>
      <xdr:rowOff>76200</xdr:rowOff>
    </xdr:from>
    <xdr:to>
      <xdr:col>13</xdr:col>
      <xdr:colOff>400051</xdr:colOff>
      <xdr:row>35</xdr:row>
      <xdr:rowOff>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AB67E-EC4F-89B4-E0E2-67D577897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1" y="2171700"/>
          <a:ext cx="8858250" cy="44964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1</xdr:row>
      <xdr:rowOff>160020</xdr:rowOff>
    </xdr:from>
    <xdr:to>
      <xdr:col>11</xdr:col>
      <xdr:colOff>528239</xdr:colOff>
      <xdr:row>18</xdr:row>
      <xdr:rowOff>179525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11068AA-856B-10AA-D4AA-02F07B96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2480" y="350520"/>
          <a:ext cx="3972479" cy="3258005"/>
        </a:xfrm>
        <a:prstGeom prst="rect">
          <a:avLst/>
        </a:prstGeom>
      </xdr:spPr>
    </xdr:pic>
    <xdr:clientData/>
  </xdr:twoCellAnchor>
  <xdr:twoCellAnchor>
    <xdr:from>
      <xdr:col>8</xdr:col>
      <xdr:colOff>495300</xdr:colOff>
      <xdr:row>5</xdr:row>
      <xdr:rowOff>45720</xdr:rowOff>
    </xdr:from>
    <xdr:to>
      <xdr:col>9</xdr:col>
      <xdr:colOff>411480</xdr:colOff>
      <xdr:row>6</xdr:row>
      <xdr:rowOff>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E7E33A5D-11C4-4CB8-85FE-CB0524B04D99}"/>
            </a:ext>
          </a:extLst>
        </xdr:cNvPr>
        <xdr:cNvCxnSpPr/>
      </xdr:nvCxnSpPr>
      <xdr:spPr>
        <a:xfrm>
          <a:off x="5372100" y="1074420"/>
          <a:ext cx="525780" cy="1600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560070</xdr:colOff>
      <xdr:row>3</xdr:row>
      <xdr:rowOff>144780</xdr:rowOff>
    </xdr:from>
    <xdr:to>
      <xdr:col>20</xdr:col>
      <xdr:colOff>255270</xdr:colOff>
      <xdr:row>17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251791</xdr:colOff>
      <xdr:row>2</xdr:row>
      <xdr:rowOff>178905</xdr:rowOff>
    </xdr:from>
    <xdr:to>
      <xdr:col>10</xdr:col>
      <xdr:colOff>598594</xdr:colOff>
      <xdr:row>4</xdr:row>
      <xdr:rowOff>13252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E3A970-9CBE-2877-20B6-3EBC7636A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661" y="563218"/>
          <a:ext cx="6906629" cy="218660"/>
        </a:xfrm>
        <a:prstGeom prst="rect">
          <a:avLst/>
        </a:prstGeom>
      </xdr:spPr>
    </xdr:pic>
    <xdr:clientData/>
  </xdr:twoCellAnchor>
  <xdr:twoCellAnchor>
    <xdr:from>
      <xdr:col>8</xdr:col>
      <xdr:colOff>722243</xdr:colOff>
      <xdr:row>3</xdr:row>
      <xdr:rowOff>19878</xdr:rowOff>
    </xdr:from>
    <xdr:to>
      <xdr:col>10</xdr:col>
      <xdr:colOff>437322</xdr:colOff>
      <xdr:row>4</xdr:row>
      <xdr:rowOff>13253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266C933-3935-45FE-BB1E-ECE9BAB04F11}"/>
            </a:ext>
          </a:extLst>
        </xdr:cNvPr>
        <xdr:cNvSpPr/>
      </xdr:nvSpPr>
      <xdr:spPr>
        <a:xfrm>
          <a:off x="6553200" y="596348"/>
          <a:ext cx="1172818" cy="1855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4</xdr:row>
      <xdr:rowOff>106680</xdr:rowOff>
    </xdr:from>
    <xdr:to>
      <xdr:col>11</xdr:col>
      <xdr:colOff>2465</xdr:colOff>
      <xdr:row>20</xdr:row>
      <xdr:rowOff>164263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8F07DEC2-3BC0-2847-D7E0-79B99E4A3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0" y="868680"/>
          <a:ext cx="4010585" cy="3105583"/>
        </a:xfrm>
        <a:prstGeom prst="rect">
          <a:avLst/>
        </a:prstGeom>
      </xdr:spPr>
    </xdr:pic>
    <xdr:clientData/>
  </xdr:twoCellAnchor>
  <xdr:twoCellAnchor>
    <xdr:from>
      <xdr:col>13</xdr:col>
      <xdr:colOff>186690</xdr:colOff>
      <xdr:row>5</xdr:row>
      <xdr:rowOff>144780</xdr:rowOff>
    </xdr:from>
    <xdr:to>
      <xdr:col>20</xdr:col>
      <xdr:colOff>491490</xdr:colOff>
      <xdr:row>19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4BB3B40-4F2B-4C91-A9D4-5116F58DD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</xdr:colOff>
      <xdr:row>12</xdr:row>
      <xdr:rowOff>30480</xdr:rowOff>
    </xdr:from>
    <xdr:to>
      <xdr:col>9</xdr:col>
      <xdr:colOff>320040</xdr:colOff>
      <xdr:row>12</xdr:row>
      <xdr:rowOff>137160</xdr:rowOff>
    </xdr:to>
    <xdr:cxnSp macro="">
      <xdr:nvCxnSpPr>
        <xdr:cNvPr id="7" name="直線單箭頭接點 6">
          <a:extLst>
            <a:ext uri="{FF2B5EF4-FFF2-40B4-BE49-F238E27FC236}">
              <a16:creationId xmlns:a16="http://schemas.microsoft.com/office/drawing/2014/main" id="{9E8F998B-6BF3-4256-8862-7FAB54BE15C9}"/>
            </a:ext>
          </a:extLst>
        </xdr:cNvPr>
        <xdr:cNvCxnSpPr/>
      </xdr:nvCxnSpPr>
      <xdr:spPr>
        <a:xfrm flipH="1" flipV="1">
          <a:off x="6614160" y="2316480"/>
          <a:ext cx="289560" cy="10668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3</xdr:row>
      <xdr:rowOff>38100</xdr:rowOff>
    </xdr:from>
    <xdr:to>
      <xdr:col>13</xdr:col>
      <xdr:colOff>123127</xdr:colOff>
      <xdr:row>4</xdr:row>
      <xdr:rowOff>142916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101C5826-C579-F86A-DD4C-2AFDE9784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609600"/>
          <a:ext cx="8649907" cy="295316"/>
        </a:xfrm>
        <a:prstGeom prst="rect">
          <a:avLst/>
        </a:prstGeom>
      </xdr:spPr>
    </xdr:pic>
    <xdr:clientData/>
  </xdr:twoCellAnchor>
  <xdr:twoCellAnchor>
    <xdr:from>
      <xdr:col>11</xdr:col>
      <xdr:colOff>533400</xdr:colOff>
      <xdr:row>3</xdr:row>
      <xdr:rowOff>76200</xdr:rowOff>
    </xdr:from>
    <xdr:to>
      <xdr:col>13</xdr:col>
      <xdr:colOff>91440</xdr:colOff>
      <xdr:row>4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2BE553-97C9-4B3E-B4FA-A959D61456C8}"/>
            </a:ext>
          </a:extLst>
        </xdr:cNvPr>
        <xdr:cNvSpPr/>
      </xdr:nvSpPr>
      <xdr:spPr>
        <a:xfrm>
          <a:off x="8580120" y="647700"/>
          <a:ext cx="102108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632460</xdr:colOff>
      <xdr:row>3</xdr:row>
      <xdr:rowOff>45720</xdr:rowOff>
    </xdr:from>
    <xdr:to>
      <xdr:col>9</xdr:col>
      <xdr:colOff>453978</xdr:colOff>
      <xdr:row>19</xdr:row>
      <xdr:rowOff>103303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860E6C34-27B0-3380-8119-76771D55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020" y="617220"/>
          <a:ext cx="4210638" cy="3105583"/>
        </a:xfrm>
        <a:prstGeom prst="rect">
          <a:avLst/>
        </a:prstGeom>
      </xdr:spPr>
    </xdr:pic>
    <xdr:clientData/>
  </xdr:twoCellAnchor>
  <xdr:twoCellAnchor>
    <xdr:from>
      <xdr:col>11</xdr:col>
      <xdr:colOff>445770</xdr:colOff>
      <xdr:row>6</xdr:row>
      <xdr:rowOff>22860</xdr:rowOff>
    </xdr:from>
    <xdr:to>
      <xdr:col>19</xdr:col>
      <xdr:colOff>140970</xdr:colOff>
      <xdr:row>19</xdr:row>
      <xdr:rowOff>91440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FFF4C9-E784-4E7B-A69A-29FF0186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</xdr:colOff>
      <xdr:row>5</xdr:row>
      <xdr:rowOff>15240</xdr:rowOff>
    </xdr:from>
    <xdr:to>
      <xdr:col>7</xdr:col>
      <xdr:colOff>312420</xdr:colOff>
      <xdr:row>7</xdr:row>
      <xdr:rowOff>45720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C7562088-4E8F-473C-8ED8-EE83EE32A4A4}"/>
            </a:ext>
          </a:extLst>
        </xdr:cNvPr>
        <xdr:cNvCxnSpPr/>
      </xdr:nvCxnSpPr>
      <xdr:spPr>
        <a:xfrm flipH="1" flipV="1">
          <a:off x="5128260" y="967740"/>
          <a:ext cx="304800" cy="41148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220980</xdr:colOff>
      <xdr:row>2</xdr:row>
      <xdr:rowOff>83821</xdr:rowOff>
    </xdr:from>
    <xdr:to>
      <xdr:col>9</xdr:col>
      <xdr:colOff>99060</xdr:colOff>
      <xdr:row>19</xdr:row>
      <xdr:rowOff>113645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BB8D8730-DAF2-2853-9630-3C63E1EF3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5540" y="472441"/>
          <a:ext cx="4267200" cy="3268324"/>
        </a:xfrm>
        <a:prstGeom prst="rect">
          <a:avLst/>
        </a:prstGeom>
      </xdr:spPr>
    </xdr:pic>
    <xdr:clientData/>
  </xdr:twoCellAnchor>
  <xdr:twoCellAnchor>
    <xdr:from>
      <xdr:col>6</xdr:col>
      <xdr:colOff>624840</xdr:colOff>
      <xdr:row>2</xdr:row>
      <xdr:rowOff>152400</xdr:rowOff>
    </xdr:from>
    <xdr:to>
      <xdr:col>7</xdr:col>
      <xdr:colOff>167640</xdr:colOff>
      <xdr:row>4</xdr:row>
      <xdr:rowOff>160020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>
          <a:off x="5013960" y="541020"/>
          <a:ext cx="274320" cy="3886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316230</xdr:colOff>
      <xdr:row>5</xdr:row>
      <xdr:rowOff>15240</xdr:rowOff>
    </xdr:from>
    <xdr:to>
      <xdr:col>19</xdr:col>
      <xdr:colOff>11430</xdr:colOff>
      <xdr:row>18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2</xdr:row>
      <xdr:rowOff>30480</xdr:rowOff>
    </xdr:from>
    <xdr:to>
      <xdr:col>9</xdr:col>
      <xdr:colOff>182880</xdr:colOff>
      <xdr:row>19</xdr:row>
      <xdr:rowOff>60304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C0F4492-EE56-4E57-A919-4B36C72F2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" y="419100"/>
          <a:ext cx="4267200" cy="3268324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7</xdr:row>
      <xdr:rowOff>22860</xdr:rowOff>
    </xdr:from>
    <xdr:to>
      <xdr:col>5</xdr:col>
      <xdr:colOff>693420</xdr:colOff>
      <xdr:row>8</xdr:row>
      <xdr:rowOff>160020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ABA9F15B-F7C8-4405-AF07-1DF48E6C76C3}"/>
            </a:ext>
          </a:extLst>
        </xdr:cNvPr>
        <xdr:cNvCxnSpPr/>
      </xdr:nvCxnSpPr>
      <xdr:spPr>
        <a:xfrm>
          <a:off x="4229100" y="1363980"/>
          <a:ext cx="121920" cy="3276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224790</xdr:colOff>
      <xdr:row>4</xdr:row>
      <xdr:rowOff>68580</xdr:rowOff>
    </xdr:from>
    <xdr:to>
      <xdr:col>18</xdr:col>
      <xdr:colOff>529590</xdr:colOff>
      <xdr:row>17</xdr:row>
      <xdr:rowOff>137160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160020</xdr:colOff>
      <xdr:row>6</xdr:row>
      <xdr:rowOff>38100</xdr:rowOff>
    </xdr:from>
    <xdr:to>
      <xdr:col>9</xdr:col>
      <xdr:colOff>38100</xdr:colOff>
      <xdr:row>23</xdr:row>
      <xdr:rowOff>67924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9E9F1BD5-6A99-4F71-B4F2-8FC98C10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4580" y="1188720"/>
          <a:ext cx="4267200" cy="3268324"/>
        </a:xfrm>
        <a:prstGeom prst="rect">
          <a:avLst/>
        </a:prstGeom>
      </xdr:spPr>
    </xdr:pic>
    <xdr:clientData/>
  </xdr:twoCellAnchor>
  <xdr:twoCellAnchor>
    <xdr:from>
      <xdr:col>5</xdr:col>
      <xdr:colOff>434340</xdr:colOff>
      <xdr:row>14</xdr:row>
      <xdr:rowOff>175260</xdr:rowOff>
    </xdr:from>
    <xdr:to>
      <xdr:col>5</xdr:col>
      <xdr:colOff>609600</xdr:colOff>
      <xdr:row>17</xdr:row>
      <xdr:rowOff>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74C23D4-E7AF-4090-94C4-90C2A41892C7}"/>
            </a:ext>
          </a:extLst>
        </xdr:cNvPr>
        <xdr:cNvCxnSpPr/>
      </xdr:nvCxnSpPr>
      <xdr:spPr>
        <a:xfrm>
          <a:off x="4091940" y="2849880"/>
          <a:ext cx="175260" cy="39624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575310</xdr:colOff>
      <xdr:row>4</xdr:row>
      <xdr:rowOff>60960</xdr:rowOff>
    </xdr:from>
    <xdr:to>
      <xdr:col>18</xdr:col>
      <xdr:colOff>270510</xdr:colOff>
      <xdr:row>17</xdr:row>
      <xdr:rowOff>129540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workbookViewId="0">
      <selection activeCell="H14" sqref="H14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21</v>
      </c>
      <c r="B2" s="3" t="s">
        <v>22</v>
      </c>
      <c r="C2" s="3" t="s">
        <v>23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C8"/>
  <sheetViews>
    <sheetView tabSelected="1" zoomScaleNormal="100" workbookViewId="0">
      <selection activeCell="C7" sqref="C7"/>
    </sheetView>
  </sheetViews>
  <sheetFormatPr defaultRowHeight="15.6"/>
  <sheetData>
    <row r="1" spans="1:3">
      <c r="A1" s="3" t="s">
        <v>3</v>
      </c>
      <c r="B1" s="3"/>
      <c r="C1" s="3"/>
    </row>
    <row r="2" spans="1:3">
      <c r="A2" s="3" t="s">
        <v>24</v>
      </c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8" spans="1:3">
      <c r="A8" s="3" t="s">
        <v>3</v>
      </c>
      <c r="B8">
        <f>0.89548264/10.522317</f>
        <v>8.5103180221618502E-2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0"/>
  <sheetViews>
    <sheetView zoomScaleNormal="100" workbookViewId="0">
      <selection activeCell="N2" sqref="N2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9">
        <v>0</v>
      </c>
      <c r="D2" s="9">
        <v>0</v>
      </c>
      <c r="E2" s="3" t="s">
        <v>20</v>
      </c>
    </row>
    <row r="3" spans="3:5">
      <c r="C3" s="9">
        <v>0.20689647310175599</v>
      </c>
      <c r="D3" s="9">
        <v>4.5171364807666796</v>
      </c>
      <c r="E3" s="3" t="s">
        <v>20</v>
      </c>
    </row>
    <row r="4" spans="3:5">
      <c r="C4" s="9">
        <v>0.40229886821434901</v>
      </c>
      <c r="D4" s="9">
        <v>7.3208677598755596</v>
      </c>
      <c r="E4" s="3" t="s">
        <v>20</v>
      </c>
    </row>
    <row r="5" spans="3:5">
      <c r="C5" s="9">
        <v>0.57471266887764105</v>
      </c>
      <c r="D5" s="9">
        <v>10.2803717909842</v>
      </c>
      <c r="E5" s="3" t="s">
        <v>20</v>
      </c>
    </row>
    <row r="6" spans="3:5">
      <c r="C6" s="9">
        <v>0.75862098600106898</v>
      </c>
      <c r="D6" s="9">
        <v>13.862925236818301</v>
      </c>
      <c r="E6" s="3" t="s">
        <v>20</v>
      </c>
    </row>
    <row r="7" spans="3:5">
      <c r="C7" s="9">
        <v>0.97701197556296004</v>
      </c>
      <c r="D7" s="9">
        <v>16.8224173841345</v>
      </c>
      <c r="E7" s="3" t="s">
        <v>20</v>
      </c>
    </row>
    <row r="8" spans="3:5">
      <c r="C8" s="9">
        <v>1.1264367433059801</v>
      </c>
      <c r="D8" s="9">
        <v>19.3146388106213</v>
      </c>
      <c r="E8" s="3" t="s">
        <v>20</v>
      </c>
    </row>
    <row r="9" spans="3:5">
      <c r="C9" s="9">
        <v>1.3563218108570401</v>
      </c>
      <c r="D9" s="9">
        <v>23.052947182766498</v>
      </c>
      <c r="E9" s="3" t="s">
        <v>20</v>
      </c>
    </row>
    <row r="10" spans="3:5">
      <c r="C10" s="9">
        <v>1.5747128004189299</v>
      </c>
      <c r="D10" s="9">
        <v>26.3239848340822</v>
      </c>
      <c r="E10" s="3" t="s">
        <v>20</v>
      </c>
    </row>
    <row r="11" spans="3:5">
      <c r="C11" s="9">
        <v>1.83908097887942</v>
      </c>
      <c r="D11" s="9">
        <v>29.595016543501799</v>
      </c>
      <c r="E11" s="3" t="s">
        <v>20</v>
      </c>
    </row>
    <row r="12" spans="3:5">
      <c r="C12" s="9">
        <v>2.1149423583871401</v>
      </c>
      <c r="D12" s="9">
        <v>33.644858535853999</v>
      </c>
      <c r="E12" s="3" t="s">
        <v>20</v>
      </c>
    </row>
    <row r="13" spans="3:5">
      <c r="C13" s="9">
        <v>2.36781645885846</v>
      </c>
      <c r="D13" s="9">
        <v>37.227411981688199</v>
      </c>
      <c r="E13" s="3" t="s">
        <v>20</v>
      </c>
    </row>
    <row r="14" spans="3:5">
      <c r="C14" s="9">
        <v>2.6666668712864499</v>
      </c>
      <c r="D14" s="9">
        <v>40.965732237625801</v>
      </c>
      <c r="E14" s="3" t="s">
        <v>20</v>
      </c>
    </row>
    <row r="15" spans="3:5">
      <c r="C15" s="9">
        <v>2.9655172837144299</v>
      </c>
      <c r="D15" s="9">
        <v>44.704052493563502</v>
      </c>
      <c r="E15" s="3" t="s">
        <v>20</v>
      </c>
    </row>
    <row r="16" spans="3:5">
      <c r="C16" s="9">
        <v>3.3563220739396198</v>
      </c>
      <c r="D16" s="9">
        <v>49.065422164226597</v>
      </c>
      <c r="E16" s="3" t="s">
        <v>20</v>
      </c>
    </row>
    <row r="17" spans="3:5">
      <c r="C17" s="9">
        <v>3.7471268641647999</v>
      </c>
      <c r="D17" s="9">
        <v>53.426791834889798</v>
      </c>
      <c r="E17" s="3" t="s">
        <v>20</v>
      </c>
    </row>
    <row r="18" spans="3:5">
      <c r="C18" s="9">
        <v>4.1724138883574797</v>
      </c>
      <c r="D18" s="9">
        <v>57.7881615055529</v>
      </c>
      <c r="E18" s="3" t="s">
        <v>20</v>
      </c>
    </row>
    <row r="19" spans="3:5">
      <c r="C19" s="9">
        <v>4.5402305226043396</v>
      </c>
      <c r="D19" s="9">
        <v>61.682242629697797</v>
      </c>
      <c r="E19" s="3" t="s">
        <v>20</v>
      </c>
    </row>
    <row r="20" spans="3:5">
      <c r="C20" s="9">
        <v>5.0114947356956101</v>
      </c>
      <c r="D20" s="9">
        <v>65.732087592998298</v>
      </c>
      <c r="E20" s="3" t="s">
        <v>20</v>
      </c>
    </row>
    <row r="21" spans="3:5">
      <c r="C21" s="9">
        <v>5.4712648707977296</v>
      </c>
      <c r="D21" s="9">
        <v>69.470407848935906</v>
      </c>
      <c r="E21" s="3" t="s">
        <v>20</v>
      </c>
    </row>
    <row r="22" spans="3:5">
      <c r="C22" s="9">
        <v>5.9425290838890099</v>
      </c>
      <c r="D22" s="9">
        <v>73.208725133925498</v>
      </c>
      <c r="E22" s="3" t="s">
        <v>20</v>
      </c>
    </row>
    <row r="23" spans="3:5">
      <c r="C23" s="9">
        <v>6.5287358307558101</v>
      </c>
      <c r="D23" s="9">
        <v>77.414330965433194</v>
      </c>
      <c r="E23" s="3" t="s">
        <v>20</v>
      </c>
    </row>
    <row r="24" spans="3:5">
      <c r="C24" s="9">
        <v>7.13793161054289</v>
      </c>
      <c r="D24" s="9">
        <v>81.152651221370803</v>
      </c>
      <c r="E24" s="3" t="s">
        <v>20</v>
      </c>
    </row>
    <row r="25" spans="3:5">
      <c r="C25" s="9">
        <v>7.8735640020946596</v>
      </c>
      <c r="D25" s="9">
        <v>85.825548570344793</v>
      </c>
      <c r="E25" s="3" t="s">
        <v>20</v>
      </c>
    </row>
    <row r="26" spans="3:5">
      <c r="C26" s="9">
        <v>8.6321845496247605</v>
      </c>
      <c r="D26" s="9">
        <v>89.408102016178901</v>
      </c>
      <c r="E26" s="3" t="s">
        <v>20</v>
      </c>
    </row>
    <row r="27" spans="3:5">
      <c r="C27" s="9">
        <v>9.2298853744807303</v>
      </c>
      <c r="D27" s="9">
        <v>92.056076883502698</v>
      </c>
      <c r="E27" s="3" t="s">
        <v>20</v>
      </c>
    </row>
    <row r="28" spans="3:5">
      <c r="C28" s="9">
        <v>9.9425287331122298</v>
      </c>
      <c r="D28" s="9">
        <v>94.704051750826494</v>
      </c>
      <c r="E28" s="3" t="s">
        <v>20</v>
      </c>
    </row>
    <row r="29" spans="3:5">
      <c r="C29" s="7"/>
      <c r="D29" s="7"/>
      <c r="E29" s="3"/>
    </row>
    <row r="30" spans="3:5">
      <c r="C30" s="7"/>
      <c r="D30" s="7"/>
      <c r="E30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K13"/>
  <sheetViews>
    <sheetView zoomScale="115" zoomScaleNormal="115" workbookViewId="0">
      <selection activeCell="A2" sqref="A2"/>
    </sheetView>
  </sheetViews>
  <sheetFormatPr defaultRowHeight="15.6"/>
  <sheetData>
    <row r="1" spans="1:11">
      <c r="A1" s="3" t="s">
        <v>7</v>
      </c>
      <c r="B1" s="3"/>
    </row>
    <row r="2" spans="1:11">
      <c r="A2" s="8">
        <v>1.7</v>
      </c>
      <c r="B2" s="3"/>
    </row>
    <row r="3" spans="1:11">
      <c r="A3" s="3"/>
      <c r="B3" s="3"/>
    </row>
    <row r="4" spans="1:11">
      <c r="A4" s="3"/>
      <c r="B4" s="3"/>
    </row>
    <row r="5" spans="1:11">
      <c r="A5" s="3"/>
      <c r="B5" s="3"/>
    </row>
    <row r="13" spans="1:11">
      <c r="K13" s="6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28"/>
  <sheetViews>
    <sheetView topLeftCell="B1" workbookViewId="0">
      <selection activeCell="D6" sqref="D6"/>
    </sheetView>
  </sheetViews>
  <sheetFormatPr defaultRowHeight="15.6"/>
  <cols>
    <col min="4" max="4" width="10.796875" bestFit="1" customWidth="1"/>
  </cols>
  <sheetData>
    <row r="1" spans="3:5">
      <c r="C1" s="2" t="s">
        <v>8</v>
      </c>
      <c r="D1" s="2" t="s">
        <v>5</v>
      </c>
      <c r="E1" s="3" t="s">
        <v>9</v>
      </c>
    </row>
    <row r="2" spans="3:5">
      <c r="C2" s="9">
        <v>0</v>
      </c>
      <c r="D2" s="9">
        <v>0</v>
      </c>
      <c r="E2" s="3">
        <v>20</v>
      </c>
    </row>
    <row r="3" spans="3:5">
      <c r="C3" s="9">
        <v>2.4351647345574299</v>
      </c>
      <c r="D3" s="9">
        <v>9.9999999999999998E-13</v>
      </c>
      <c r="E3" s="3">
        <v>20</v>
      </c>
    </row>
    <row r="4" spans="3:5">
      <c r="C4" s="9">
        <v>3.3450555486993401</v>
      </c>
      <c r="D4" s="10">
        <v>1.0000000000000001E-9</v>
      </c>
      <c r="E4" s="3">
        <v>20</v>
      </c>
    </row>
    <row r="5" spans="3:5">
      <c r="C5" s="9">
        <v>4.6241760253906197</v>
      </c>
      <c r="D5" s="10">
        <v>2.0000000000000001E-9</v>
      </c>
      <c r="E5" s="3">
        <v>20</v>
      </c>
    </row>
    <row r="6" spans="3:5">
      <c r="C6" s="9">
        <v>5.2043960068252</v>
      </c>
      <c r="D6" s="9">
        <v>0.21908898345303901</v>
      </c>
      <c r="E6" s="3">
        <v>20</v>
      </c>
    </row>
    <row r="7" spans="3:5">
      <c r="C7" s="9">
        <v>5.6791210803356797</v>
      </c>
      <c r="D7" s="9">
        <v>0.76681979979466497</v>
      </c>
      <c r="E7" s="3">
        <v>20</v>
      </c>
    </row>
    <row r="8" spans="3:5">
      <c r="C8" s="9">
        <v>6.1010986998840897</v>
      </c>
      <c r="D8" s="9">
        <v>1.64319244902484</v>
      </c>
      <c r="E8" s="3">
        <v>20</v>
      </c>
    </row>
    <row r="9" spans="3:5">
      <c r="C9" s="9">
        <v>6.5758247794685696</v>
      </c>
      <c r="D9" s="9">
        <v>3.3959293897762102</v>
      </c>
      <c r="E9" s="3">
        <v>20</v>
      </c>
    </row>
    <row r="10" spans="3:5">
      <c r="C10" s="9">
        <v>6.9450549450549399</v>
      </c>
      <c r="D10" s="9">
        <v>5.8059499963047001</v>
      </c>
      <c r="E10" s="3">
        <v>20</v>
      </c>
    </row>
    <row r="11" spans="3:5">
      <c r="C11" s="9">
        <v>7.2747252747252702</v>
      </c>
      <c r="D11" s="9">
        <v>8.5446040780127603</v>
      </c>
      <c r="E11" s="3">
        <v>20</v>
      </c>
    </row>
    <row r="12" spans="3:5">
      <c r="C12" s="9">
        <v>7.6571430583576499</v>
      </c>
      <c r="D12" s="9">
        <v>11.7214319477724</v>
      </c>
      <c r="E12" s="3">
        <v>20</v>
      </c>
    </row>
    <row r="13" spans="3:5">
      <c r="C13" s="9">
        <v>7.9999999999999902</v>
      </c>
      <c r="D13" s="9">
        <v>14.8982807118045</v>
      </c>
      <c r="E13" s="3">
        <v>20</v>
      </c>
    </row>
    <row r="14" spans="3:5">
      <c r="C14" s="9">
        <v>8.3956043956043906</v>
      </c>
      <c r="D14" s="9">
        <v>18.9514854096489</v>
      </c>
      <c r="E14" s="3">
        <v>20</v>
      </c>
    </row>
    <row r="15" spans="3:5">
      <c r="C15" s="9">
        <v>8.6197808234246196</v>
      </c>
      <c r="D15" s="9">
        <v>22.347418978279599</v>
      </c>
      <c r="E15" s="3">
        <v>20</v>
      </c>
    </row>
    <row r="16" spans="3:5">
      <c r="C16" s="9">
        <v>8.9098903111049097</v>
      </c>
      <c r="D16" s="9">
        <v>26.948358671320001</v>
      </c>
      <c r="E16" s="3">
        <v>20</v>
      </c>
    </row>
    <row r="17" spans="3:5">
      <c r="C17" s="9">
        <v>9.3054947067093003</v>
      </c>
      <c r="D17" s="9">
        <v>33.082942142804299</v>
      </c>
      <c r="E17" s="3">
        <v>20</v>
      </c>
    </row>
    <row r="18" spans="3:5">
      <c r="C18" s="9">
        <v>9.7670331682477602</v>
      </c>
      <c r="D18" s="9">
        <v>40.093898263518803</v>
      </c>
      <c r="E18" s="3">
        <v>20</v>
      </c>
    </row>
    <row r="19" spans="3:5">
      <c r="C19" s="9">
        <v>10.1230767218621</v>
      </c>
      <c r="D19" s="9">
        <v>45.680750918661403</v>
      </c>
      <c r="E19" s="3">
        <v>20</v>
      </c>
    </row>
    <row r="20" spans="3:5">
      <c r="C20" s="9">
        <v>10.663736867380599</v>
      </c>
      <c r="D20" s="9">
        <v>53.348982347444</v>
      </c>
      <c r="E20" s="3">
        <v>20</v>
      </c>
    </row>
    <row r="21" spans="3:5">
      <c r="C21" s="9">
        <v>11.204396006825201</v>
      </c>
      <c r="D21" s="9">
        <v>60.140845305850902</v>
      </c>
      <c r="E21" s="3">
        <v>20</v>
      </c>
    </row>
    <row r="22" spans="3:5">
      <c r="C22" s="9">
        <v>11.6395612444196</v>
      </c>
      <c r="D22" s="9">
        <v>64.632237373023997</v>
      </c>
      <c r="E22" s="3">
        <v>20</v>
      </c>
    </row>
    <row r="23" spans="3:5">
      <c r="C23" s="9">
        <v>12.1538461538461</v>
      </c>
      <c r="D23" s="9">
        <v>69.342722602504594</v>
      </c>
      <c r="E23" s="3">
        <v>20</v>
      </c>
    </row>
    <row r="24" spans="3:5">
      <c r="C24" s="7"/>
      <c r="D24" s="7"/>
      <c r="E24" s="3"/>
    </row>
    <row r="25" spans="3:5">
      <c r="C25" s="7"/>
      <c r="D25" s="7"/>
      <c r="E25" s="3"/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E28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workbookViewId="0">
      <selection activeCell="D10" sqref="D10"/>
    </sheetView>
  </sheetViews>
  <sheetFormatPr defaultRowHeight="15.6"/>
  <sheetData>
    <row r="1" spans="1:2">
      <c r="A1" s="3" t="s">
        <v>10</v>
      </c>
      <c r="B1" s="3"/>
    </row>
    <row r="2" spans="1:2">
      <c r="A2" s="3">
        <v>3.5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1"/>
  <sheetViews>
    <sheetView workbookViewId="0">
      <selection activeCell="C3" sqref="C3"/>
    </sheetView>
  </sheetViews>
  <sheetFormatPr defaultRowHeight="15.6"/>
  <sheetData>
    <row r="1" spans="1:3">
      <c r="A1" s="3" t="s">
        <v>11</v>
      </c>
      <c r="B1" s="3" t="s">
        <v>12</v>
      </c>
      <c r="C1" s="3" t="s">
        <v>13</v>
      </c>
    </row>
    <row r="2" spans="1:3">
      <c r="A2" s="9">
        <v>0</v>
      </c>
      <c r="B2" s="9">
        <v>0</v>
      </c>
      <c r="C2" s="3">
        <v>25</v>
      </c>
    </row>
    <row r="3" spans="1:3">
      <c r="A3" s="9">
        <v>1.5605428895615201</v>
      </c>
      <c r="B3" s="10">
        <v>1.0000000000000001E-9</v>
      </c>
      <c r="C3" s="3">
        <v>25</v>
      </c>
    </row>
    <row r="4" spans="1:3">
      <c r="A4" s="9">
        <v>1.7954071920582599</v>
      </c>
      <c r="B4" s="9">
        <v>0.261865838230187</v>
      </c>
      <c r="C4" s="3">
        <v>25</v>
      </c>
    </row>
    <row r="5" spans="1:3">
      <c r="A5" s="9">
        <v>1.9676407749728699</v>
      </c>
      <c r="B5" s="9">
        <v>0.39279922559777802</v>
      </c>
      <c r="C5" s="3">
        <v>25</v>
      </c>
    </row>
    <row r="6" spans="1:3">
      <c r="A6" s="9">
        <v>2.1346556289979901</v>
      </c>
      <c r="B6" s="9">
        <v>0.78559720252223197</v>
      </c>
      <c r="C6" s="3">
        <v>25</v>
      </c>
    </row>
    <row r="7" spans="1:3">
      <c r="A7" s="9">
        <v>2.2338202381637302</v>
      </c>
      <c r="B7" s="9">
        <v>1.14566276910978</v>
      </c>
      <c r="C7" s="3">
        <v>25</v>
      </c>
    </row>
    <row r="8" spans="1:3">
      <c r="A8" s="9">
        <v>2.3382043726067301</v>
      </c>
      <c r="B8" s="9">
        <v>1.73486051491729</v>
      </c>
      <c r="C8" s="3">
        <v>25</v>
      </c>
    </row>
    <row r="9" spans="1:3">
      <c r="A9" s="9">
        <v>2.4112733463556002</v>
      </c>
      <c r="B9" s="9">
        <v>2.2258588445357601</v>
      </c>
      <c r="C9" s="3">
        <v>25</v>
      </c>
    </row>
    <row r="10" spans="1:3">
      <c r="A10" s="9">
        <v>2.4843423201044699</v>
      </c>
      <c r="B10" s="9">
        <v>2.74959052099614</v>
      </c>
      <c r="C10" s="3">
        <v>25</v>
      </c>
    </row>
    <row r="11" spans="1:3">
      <c r="A11" s="9">
        <v>2.5521921667699599</v>
      </c>
      <c r="B11" s="9">
        <v>3.3387888911403101</v>
      </c>
      <c r="C11" s="3">
        <v>25</v>
      </c>
    </row>
    <row r="12" spans="1:3">
      <c r="A12" s="9">
        <v>2.6096033610748299</v>
      </c>
      <c r="B12" s="9">
        <v>3.89525329010592</v>
      </c>
      <c r="C12" s="3">
        <v>25</v>
      </c>
    </row>
    <row r="13" spans="1:3">
      <c r="A13" s="9">
        <v>2.6826723348237</v>
      </c>
      <c r="B13" s="9">
        <v>4.5826523251124502</v>
      </c>
      <c r="C13" s="3">
        <v>25</v>
      </c>
    </row>
    <row r="14" spans="1:3">
      <c r="A14" s="9">
        <v>2.7557409103786998</v>
      </c>
      <c r="B14" s="9">
        <v>5.40098287447658</v>
      </c>
      <c r="C14" s="3">
        <v>25</v>
      </c>
    </row>
    <row r="15" spans="1:3">
      <c r="A15" s="9">
        <v>2.8235907570441898</v>
      </c>
      <c r="B15" s="9">
        <v>6.0883794121364598</v>
      </c>
      <c r="C15" s="3">
        <v>25</v>
      </c>
    </row>
    <row r="16" spans="1:3">
      <c r="A16" s="9">
        <v>2.90709798495981</v>
      </c>
      <c r="B16" s="9">
        <v>6.8412432678167896</v>
      </c>
      <c r="C16" s="3">
        <v>25</v>
      </c>
    </row>
    <row r="17" spans="1:3">
      <c r="A17" s="9">
        <v>2.9801669587086801</v>
      </c>
      <c r="B17" s="9">
        <v>7.4959077073081</v>
      </c>
      <c r="C17" s="3">
        <v>25</v>
      </c>
    </row>
    <row r="18" spans="1:3">
      <c r="A18" s="9">
        <v>3.0688933137076799</v>
      </c>
      <c r="B18" s="9">
        <v>8.2160388404831899</v>
      </c>
      <c r="C18" s="3">
        <v>25</v>
      </c>
    </row>
    <row r="19" spans="1:3">
      <c r="A19" s="9">
        <v>3.14196228745655</v>
      </c>
      <c r="B19" s="9">
        <v>8.9689026961635303</v>
      </c>
      <c r="C19" s="3">
        <v>25</v>
      </c>
    </row>
    <row r="20" spans="1:3">
      <c r="A20" s="9">
        <v>3.2202503882887901</v>
      </c>
      <c r="B20" s="9">
        <v>9.6563011068333893</v>
      </c>
      <c r="C20" s="3">
        <v>25</v>
      </c>
    </row>
    <row r="21" spans="1:3">
      <c r="A21" s="9">
        <v>3.30375761620442</v>
      </c>
      <c r="B21" s="9">
        <v>10.540097101208</v>
      </c>
      <c r="C21" s="3">
        <v>25</v>
      </c>
    </row>
    <row r="22" spans="1:3">
      <c r="A22" s="9">
        <v>3.3977034964806601</v>
      </c>
      <c r="B22" s="9">
        <v>11.292962205561601</v>
      </c>
      <c r="C22" s="3">
        <v>25</v>
      </c>
    </row>
    <row r="23" spans="1:3">
      <c r="A23" s="9">
        <v>3.4707724702295302</v>
      </c>
      <c r="B23" s="9">
        <v>12.2094921711148</v>
      </c>
      <c r="C23" s="3">
        <v>25</v>
      </c>
    </row>
    <row r="24" spans="1:3">
      <c r="A24" s="9">
        <v>3.5594988252285198</v>
      </c>
      <c r="B24" s="9">
        <v>13.1587548591732</v>
      </c>
      <c r="C24" s="3">
        <v>25</v>
      </c>
    </row>
    <row r="25" spans="1:3">
      <c r="A25" s="9">
        <v>3.6430060531441399</v>
      </c>
      <c r="B25" s="9">
        <v>14.238952183272501</v>
      </c>
      <c r="C25" s="3">
        <v>25</v>
      </c>
    </row>
    <row r="26" spans="1:3">
      <c r="A26" s="9">
        <v>3.7160750268930101</v>
      </c>
      <c r="B26" s="9">
        <v>15.1227481776471</v>
      </c>
      <c r="C26" s="3">
        <v>25</v>
      </c>
    </row>
    <row r="27" spans="1:3">
      <c r="A27" s="9">
        <v>3.7839248735585098</v>
      </c>
      <c r="B27" s="9">
        <v>16.104744836883999</v>
      </c>
      <c r="C27" s="3">
        <v>25</v>
      </c>
    </row>
    <row r="28" spans="1:3">
      <c r="A28" s="9">
        <v>3.8569938473073799</v>
      </c>
      <c r="B28" s="9">
        <v>17.119475467299502</v>
      </c>
      <c r="C28" s="3">
        <v>25</v>
      </c>
    </row>
    <row r="29" spans="1:3">
      <c r="A29" s="9">
        <v>3.93528194813962</v>
      </c>
      <c r="B29" s="9">
        <v>18.134204849041701</v>
      </c>
      <c r="C29" s="3">
        <v>25</v>
      </c>
    </row>
    <row r="30" spans="1:3">
      <c r="A30" s="9">
        <v>3.9874740153611201</v>
      </c>
      <c r="B30" s="9">
        <v>18.985268120911101</v>
      </c>
      <c r="C30" s="3">
        <v>25</v>
      </c>
    </row>
    <row r="31" spans="1:3">
      <c r="A31" s="9">
        <v>4.0553234638327398</v>
      </c>
      <c r="B31" s="9">
        <v>19.934532057642802</v>
      </c>
      <c r="C31" s="3">
        <v>25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25"/>
  <sheetViews>
    <sheetView workbookViewId="0">
      <selection activeCell="A2" sqref="A2:B22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9">
        <v>1.0989262046845001</v>
      </c>
      <c r="B2" s="9">
        <v>2207.2350341157398</v>
      </c>
    </row>
    <row r="3" spans="1:2">
      <c r="A3" s="9">
        <v>7.6923157537978204</v>
      </c>
      <c r="B3" s="9">
        <v>1749.45260301443</v>
      </c>
    </row>
    <row r="4" spans="1:2">
      <c r="A4" s="9">
        <v>35.164842074683797</v>
      </c>
      <c r="B4" s="9">
        <v>1749.45260301443</v>
      </c>
    </row>
    <row r="5" spans="1:2">
      <c r="A5" s="9">
        <v>90.109894716455898</v>
      </c>
      <c r="B5" s="9">
        <v>1749.45260301443</v>
      </c>
    </row>
    <row r="6" spans="1:2">
      <c r="A6" s="9">
        <v>139.56044209404999</v>
      </c>
      <c r="B6" s="9">
        <v>1775.0531167562101</v>
      </c>
    </row>
    <row r="7" spans="1:2">
      <c r="A7" s="9">
        <v>197.80223143012699</v>
      </c>
      <c r="B7" s="9">
        <v>1775.0531167562101</v>
      </c>
    </row>
    <row r="8" spans="1:2">
      <c r="A8" s="9">
        <v>242.85715782848101</v>
      </c>
      <c r="B8" s="9">
        <v>1775.0531167562101</v>
      </c>
    </row>
    <row r="9" spans="1:2">
      <c r="A9" s="9">
        <v>291.20882092113999</v>
      </c>
      <c r="B9" s="9">
        <v>1749.45260301443</v>
      </c>
    </row>
    <row r="10" spans="1:2">
      <c r="A10" s="9">
        <v>339.560484013799</v>
      </c>
      <c r="B10" s="9">
        <v>1749.45260301443</v>
      </c>
    </row>
    <row r="11" spans="1:2">
      <c r="A11" s="9">
        <v>396.70330522544299</v>
      </c>
      <c r="B11" s="9">
        <v>1749.45260301443</v>
      </c>
    </row>
    <row r="12" spans="1:2">
      <c r="A12" s="9">
        <v>446.15385260303799</v>
      </c>
      <c r="B12" s="9">
        <v>1749.45260301443</v>
      </c>
    </row>
    <row r="13" spans="1:2">
      <c r="A13" s="9">
        <v>496.70328426556898</v>
      </c>
      <c r="B13" s="9">
        <v>1749.45260301443</v>
      </c>
    </row>
    <row r="14" spans="1:2">
      <c r="A14" s="9">
        <v>547.25271592809997</v>
      </c>
      <c r="B14" s="9">
        <v>1749.45260301443</v>
      </c>
    </row>
    <row r="15" spans="1:2">
      <c r="A15" s="9">
        <v>594.50549473582203</v>
      </c>
      <c r="B15" s="9">
        <v>1749.45260301443</v>
      </c>
    </row>
    <row r="16" spans="1:2">
      <c r="A16" s="9">
        <v>649.45054737759403</v>
      </c>
      <c r="B16" s="9">
        <v>1749.45260301443</v>
      </c>
    </row>
    <row r="17" spans="1:2">
      <c r="A17" s="9">
        <v>706.59336858923905</v>
      </c>
      <c r="B17" s="9">
        <v>1749.45260301443</v>
      </c>
    </row>
    <row r="18" spans="1:2">
      <c r="A18" s="9">
        <v>768.13189461962099</v>
      </c>
      <c r="B18" s="9">
        <v>1749.45260301443</v>
      </c>
    </row>
    <row r="19" spans="1:2">
      <c r="A19" s="9">
        <v>827.47256824063402</v>
      </c>
      <c r="B19" s="9">
        <v>1749.45260301443</v>
      </c>
    </row>
    <row r="20" spans="1:2">
      <c r="A20" s="9">
        <v>896.70336810506603</v>
      </c>
      <c r="B20" s="9">
        <v>1749.45260301443</v>
      </c>
    </row>
    <row r="21" spans="1:2">
      <c r="A21" s="9">
        <v>951.64842074683804</v>
      </c>
      <c r="B21" s="9">
        <v>1749.45260301443</v>
      </c>
    </row>
    <row r="22" spans="1:2">
      <c r="A22" s="9">
        <v>994.50549473582203</v>
      </c>
      <c r="B22" s="9">
        <v>1749.45260301443</v>
      </c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B31"/>
  <sheetViews>
    <sheetView workbookViewId="0">
      <selection activeCell="J7" sqref="J7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9">
        <v>2.1978104896205699</v>
      </c>
      <c r="B2" s="9">
        <v>2144.02692851952</v>
      </c>
    </row>
    <row r="3" spans="1:2">
      <c r="A3" s="9">
        <v>2.1978104896205699</v>
      </c>
      <c r="B3" s="9">
        <v>1512.9016479555801</v>
      </c>
    </row>
    <row r="4" spans="1:2">
      <c r="A4" s="9">
        <v>5.49450526417725</v>
      </c>
      <c r="B4" s="9">
        <v>1022.02998710623</v>
      </c>
    </row>
    <row r="5" spans="1:2">
      <c r="A5" s="9">
        <v>8.7912419584822903</v>
      </c>
      <c r="B5" s="9">
        <v>742.44143792625698</v>
      </c>
    </row>
    <row r="6" spans="1:2">
      <c r="A6" s="9">
        <v>16.483515792531598</v>
      </c>
      <c r="B6" s="9">
        <v>531.55973552130899</v>
      </c>
    </row>
    <row r="7" spans="1:2">
      <c r="A7" s="9">
        <v>26.373642035949899</v>
      </c>
      <c r="B7" s="9">
        <v>397.52926599678398</v>
      </c>
    </row>
    <row r="8" spans="1:2">
      <c r="A8" s="9">
        <v>40.659347338860997</v>
      </c>
      <c r="B8" s="9">
        <v>306.05844101939903</v>
      </c>
    </row>
    <row r="9" spans="1:2">
      <c r="A9" s="9">
        <v>58.241789336077098</v>
      </c>
      <c r="B9" s="9">
        <v>253.38767084244</v>
      </c>
    </row>
    <row r="10" spans="1:2">
      <c r="A10" s="9">
        <v>82.417578962658098</v>
      </c>
      <c r="B10" s="9">
        <v>219.126042128043</v>
      </c>
    </row>
    <row r="11" spans="1:2">
      <c r="A11" s="9">
        <v>114.285768182533</v>
      </c>
      <c r="B11" s="9">
        <v>181.415801671119</v>
      </c>
    </row>
    <row r="12" spans="1:2">
      <c r="A12" s="9">
        <v>153.84618931671</v>
      </c>
      <c r="B12" s="9">
        <v>159.181531790582</v>
      </c>
    </row>
    <row r="13" spans="1:2">
      <c r="A13" s="9">
        <v>195.60437902075799</v>
      </c>
      <c r="B13" s="9">
        <v>143.78996962920201</v>
      </c>
    </row>
    <row r="14" spans="1:2">
      <c r="A14" s="9">
        <v>236.26376827936801</v>
      </c>
      <c r="B14" s="9">
        <v>131.78737187317401</v>
      </c>
    </row>
    <row r="15" spans="1:2">
      <c r="A15" s="9">
        <v>281.318694677721</v>
      </c>
      <c r="B15" s="9">
        <v>122.554159216728</v>
      </c>
    </row>
    <row r="16" spans="1:2">
      <c r="A16" s="9">
        <v>327.47250536101097</v>
      </c>
      <c r="B16" s="9">
        <v>112.32411861849</v>
      </c>
    </row>
    <row r="17" spans="1:2">
      <c r="A17" s="9">
        <v>376.92305273860597</v>
      </c>
      <c r="B17" s="9">
        <v>104.454529454436</v>
      </c>
    </row>
    <row r="18" spans="1:2">
      <c r="A18" s="9">
        <v>429.670336810506</v>
      </c>
      <c r="B18" s="9">
        <v>98.557760694589007</v>
      </c>
    </row>
    <row r="19" spans="1:2">
      <c r="A19" s="9">
        <v>486.81315802214999</v>
      </c>
      <c r="B19" s="9">
        <v>92.993830529134996</v>
      </c>
    </row>
    <row r="20" spans="1:2">
      <c r="A20" s="9">
        <v>548.35168405253296</v>
      </c>
      <c r="B20" s="9">
        <v>86.478549126913606</v>
      </c>
    </row>
    <row r="21" spans="1:2">
      <c r="A21" s="9">
        <v>617.58240007746701</v>
      </c>
      <c r="B21" s="9">
        <v>84.002081881452398</v>
      </c>
    </row>
    <row r="22" spans="1:2">
      <c r="A22" s="9">
        <v>670.32968414936704</v>
      </c>
      <c r="B22" s="9">
        <v>80.419737702416398</v>
      </c>
    </row>
    <row r="23" spans="1:2">
      <c r="A23" s="9">
        <v>720.87911581189803</v>
      </c>
      <c r="B23" s="9">
        <v>78.116775310941506</v>
      </c>
    </row>
    <row r="24" spans="1:2">
      <c r="A24" s="9">
        <v>792.30768424620203</v>
      </c>
      <c r="B24" s="9">
        <v>74.785415313041199</v>
      </c>
    </row>
    <row r="25" spans="1:2">
      <c r="A25" s="9">
        <v>876.92311561822896</v>
      </c>
      <c r="B25" s="9">
        <v>73.706851081906507</v>
      </c>
    </row>
    <row r="26" spans="1:2">
      <c r="A26" s="9">
        <v>937.36267352417804</v>
      </c>
      <c r="B26" s="9">
        <v>72.643801776149402</v>
      </c>
    </row>
    <row r="27" spans="1:2">
      <c r="A27" s="9">
        <v>994.50549473582203</v>
      </c>
      <c r="B27" s="9">
        <v>72.643801776149402</v>
      </c>
    </row>
    <row r="28" spans="1:2">
      <c r="A28" s="9"/>
      <c r="B28" s="9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35"/>
  <sheetViews>
    <sheetView workbookViewId="0">
      <selection activeCell="L23" sqref="L23"/>
    </sheetView>
  </sheetViews>
  <sheetFormatPr defaultRowHeight="15.6"/>
  <sheetData>
    <row r="1" spans="1:2" ht="15.9" thickBot="1">
      <c r="A1" s="4" t="s">
        <v>14</v>
      </c>
      <c r="B1" s="5" t="s">
        <v>17</v>
      </c>
    </row>
    <row r="2" spans="1:2">
      <c r="A2" s="3" t="s">
        <v>18</v>
      </c>
      <c r="B2" s="3" t="s">
        <v>19</v>
      </c>
    </row>
    <row r="3" spans="1:2">
      <c r="A3" s="9">
        <v>1.0989262046845001</v>
      </c>
      <c r="B3" s="9">
        <v>508.890752484242</v>
      </c>
    </row>
    <row r="4" spans="1:2">
      <c r="A4" s="9">
        <v>1.0989262046845001</v>
      </c>
      <c r="B4" s="9">
        <v>329.11683976566098</v>
      </c>
    </row>
    <row r="5" spans="1:2">
      <c r="A5" s="9">
        <v>1.0989262046845001</v>
      </c>
      <c r="B5" s="9">
        <v>200.83479586248799</v>
      </c>
    </row>
    <row r="6" spans="1:2">
      <c r="A6" s="9">
        <v>3.29673669430507</v>
      </c>
      <c r="B6" s="9">
        <v>122.554159216728</v>
      </c>
    </row>
    <row r="7" spans="1:2">
      <c r="A7" s="9">
        <v>4.3956209792411398</v>
      </c>
      <c r="B7" s="9">
        <v>73.706851081906507</v>
      </c>
    </row>
    <row r="8" spans="1:2">
      <c r="A8" s="9">
        <v>7.6923157537978204</v>
      </c>
      <c r="B8" s="9">
        <v>51.260064139906703</v>
      </c>
    </row>
    <row r="9" spans="1:2">
      <c r="A9" s="9">
        <v>9.8901262434183597</v>
      </c>
      <c r="B9" s="9">
        <v>32.673480348882002</v>
      </c>
    </row>
    <row r="10" spans="1:2">
      <c r="A10" s="9">
        <v>18.681326282152199</v>
      </c>
      <c r="B10" s="9">
        <v>22.072350341157399</v>
      </c>
    </row>
    <row r="11" spans="1:2">
      <c r="A11" s="9">
        <v>26.373642035949899</v>
      </c>
      <c r="B11" s="9">
        <v>15.8029429748042</v>
      </c>
    </row>
    <row r="12" spans="1:2">
      <c r="A12" s="9">
        <v>41.758273543545499</v>
      </c>
      <c r="B12" s="9">
        <v>12.344759717865699</v>
      </c>
    </row>
    <row r="13" spans="1:2">
      <c r="A13" s="9">
        <v>62.637368395569801</v>
      </c>
      <c r="B13" s="9">
        <v>10.6755720552783</v>
      </c>
    </row>
    <row r="14" spans="1:2">
      <c r="A14" s="9">
        <v>89.011010431519793</v>
      </c>
      <c r="B14" s="9">
        <v>9.3671665498276102</v>
      </c>
    </row>
    <row r="15" spans="1:2">
      <c r="A15" s="9">
        <v>125.274778710888</v>
      </c>
      <c r="B15" s="9">
        <v>8.3394149463245597</v>
      </c>
    </row>
    <row r="16" spans="1:2">
      <c r="A16" s="9">
        <v>165.93408413</v>
      </c>
      <c r="B16" s="9">
        <v>7.6432937048121499</v>
      </c>
    </row>
    <row r="17" spans="1:2">
      <c r="A17" s="9">
        <v>210.98901052835399</v>
      </c>
      <c r="B17" s="9">
        <v>7.1077935641756502</v>
      </c>
    </row>
    <row r="18" spans="1:2">
      <c r="A18" s="9">
        <v>259.34067362101302</v>
      </c>
      <c r="B18" s="9">
        <v>6.7065374840459997</v>
      </c>
    </row>
    <row r="19" spans="1:2">
      <c r="A19" s="9">
        <v>308.79122099860803</v>
      </c>
      <c r="B19" s="9">
        <v>6.4205311734957</v>
      </c>
    </row>
    <row r="20" spans="1:2">
      <c r="A20" s="9">
        <v>362.63738935544399</v>
      </c>
      <c r="B20" s="9">
        <v>6.1467184524122302</v>
      </c>
    </row>
    <row r="21" spans="1:2">
      <c r="A21" s="9">
        <v>419.78021056708798</v>
      </c>
      <c r="B21" s="9">
        <v>5.8845861269390696</v>
      </c>
    </row>
    <row r="22" spans="1:2">
      <c r="A22" s="9">
        <v>481.31865275797298</v>
      </c>
      <c r="B22" s="9">
        <v>5.71607052458927</v>
      </c>
    </row>
    <row r="23" spans="1:2">
      <c r="A23" s="9">
        <v>551.64833690734099</v>
      </c>
      <c r="B23" s="9">
        <v>5.5523837435747296</v>
      </c>
    </row>
    <row r="24" spans="1:2">
      <c r="A24" s="9">
        <v>604.39562097924102</v>
      </c>
      <c r="B24" s="9">
        <v>5.3933813480209603</v>
      </c>
    </row>
    <row r="25" spans="1:2">
      <c r="A25" s="9">
        <v>660.43955790594896</v>
      </c>
      <c r="B25" s="9">
        <v>5.3155944094455299</v>
      </c>
    </row>
    <row r="26" spans="1:2">
      <c r="A26" s="9">
        <v>721.97800009683397</v>
      </c>
      <c r="B26" s="9">
        <v>5.2389264626355203</v>
      </c>
    </row>
    <row r="27" spans="1:2">
      <c r="A27" s="9">
        <v>796.70330522544305</v>
      </c>
      <c r="B27" s="9">
        <v>5.0889061147712802</v>
      </c>
    </row>
    <row r="28" spans="1:2">
      <c r="A28" s="9">
        <v>875.82414749379598</v>
      </c>
      <c r="B28" s="9">
        <v>5.0155133003031098</v>
      </c>
    </row>
    <row r="29" spans="1:2">
      <c r="A29" s="9">
        <v>932.96696870543997</v>
      </c>
      <c r="B29" s="9">
        <v>5.1633757595324496</v>
      </c>
    </row>
    <row r="30" spans="1:2">
      <c r="A30" s="9">
        <v>994.50549473582203</v>
      </c>
      <c r="B30" s="9">
        <v>5.1633757595324496</v>
      </c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53A2-63A2-4EA0-9CC2-59393634F8F5}">
  <dimension ref="A1:A2"/>
  <sheetViews>
    <sheetView workbookViewId="0">
      <selection activeCell="A3" sqref="A3"/>
    </sheetView>
  </sheetViews>
  <sheetFormatPr defaultRowHeight="15.6"/>
  <sheetData>
    <row r="1" spans="1:1">
      <c r="A1" t="s">
        <v>26</v>
      </c>
    </row>
    <row r="2" spans="1:1">
      <c r="A2"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D04A-E4E1-4DC3-BFEC-EDC605C71F4F}">
  <dimension ref="A1:A2"/>
  <sheetViews>
    <sheetView workbookViewId="0">
      <selection activeCell="C6" sqref="C6"/>
    </sheetView>
  </sheetViews>
  <sheetFormatPr defaultRowHeight="15.6"/>
  <sheetData>
    <row r="1" spans="1:1">
      <c r="A1" t="s">
        <v>27</v>
      </c>
    </row>
    <row r="2" spans="1:1">
      <c r="A2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D28D-6943-4BCD-963E-690A10712770}">
  <dimension ref="A1:A2"/>
  <sheetViews>
    <sheetView workbookViewId="0">
      <selection activeCell="B5" sqref="B5"/>
    </sheetView>
  </sheetViews>
  <sheetFormatPr defaultRowHeight="15.6"/>
  <sheetData>
    <row r="1" spans="1:1">
      <c r="A1" t="s">
        <v>25</v>
      </c>
    </row>
    <row r="2" spans="1:1">
      <c r="A2">
        <v>40.299999999999997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2026-02-11T14:13:54Z</dcterms:modified>
  <cp:category/>
  <cp:contentStatus/>
</cp:coreProperties>
</file>